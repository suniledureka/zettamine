
<file path=[Content_Types].xml><?xml version="1.0" encoding="utf-8"?>
<Types xmlns="http://schemas.openxmlformats.org/package/2006/content-type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drawings/drawing2.xml" ContentType="application/vnd.openxmlformats-officedocument.drawing+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5"/>
  <workbookPr/>
  <bookViews>
    <workbookView xWindow="0" yWindow="0" windowWidth="19200" windowHeight="7065" activeTab="2"/>
  </bookViews>
  <sheets>
    <sheet name="Cover Page" sheetId="7" r:id="rId1"/>
    <sheet name="Instructions" sheetId="8" r:id="rId2"/>
    <sheet name="Backlog" sheetId="1" r:id="rId3"/>
    <sheet name="Charts" sheetId="9" r:id="rId4"/>
    <sheet name="Sheet1" sheetId="5" state="hidden" r:id="rId5"/>
  </sheets>
  <externalReferences>
    <externalReference r:id="rId6"/>
    <externalReference r:id="rId7"/>
    <externalReference r:id="rId8"/>
    <externalReference r:id="rId9"/>
  </externalReferences>
  <definedNames>
    <definedName name="ActualBurnDown" localSheetId="3">#REF!</definedName>
    <definedName name="ActualBurnDown" localSheetId="1">#REF!</definedName>
    <definedName name="ActualBurnDown">#REF!</definedName>
    <definedName name="ad" localSheetId="3">#REF!</definedName>
    <definedName name="ad">#REF!</definedName>
    <definedName name="BusinessValue" localSheetId="3">#REF!</definedName>
    <definedName name="BusinessValue">#REF!</definedName>
    <definedName name="Calc_sens2" localSheetId="1">[1]!Calc_sens2</definedName>
    <definedName name="Calc_sens2">[1]!Calc_sens2</definedName>
    <definedName name="Category" localSheetId="3">#REF!</definedName>
    <definedName name="Category">#REF!</definedName>
    <definedName name="cause" localSheetId="3">#REF!</definedName>
    <definedName name="cause" localSheetId="1">#REF!</definedName>
    <definedName name="cause">#REF!</definedName>
    <definedName name="Clear_sens2" localSheetId="1">[1]!Clear_sens2</definedName>
    <definedName name="Clear_sens2">[1]!Clear_sens2</definedName>
    <definedName name="Comments" localSheetId="3">#REF!</definedName>
    <definedName name="Comments" localSheetId="1">#REF!</definedName>
    <definedName name="Comments">#REF!</definedName>
    <definedName name="Creator" localSheetId="3">#REF!</definedName>
    <definedName name="Creator">#REF!</definedName>
    <definedName name="CRPriority">[2]Data!$B$2:$B$4</definedName>
    <definedName name="CRStatus">[2]Data!$A$2:$A$8</definedName>
    <definedName name="Iteration" localSheetId="3">#REF!</definedName>
    <definedName name="Iteration">#REF!</definedName>
    <definedName name="Ltst_TestLog">"'Test log'"</definedName>
    <definedName name="Priority" localSheetId="3">#REF!</definedName>
    <definedName name="Priority">#REF!</definedName>
    <definedName name="Quality_Records" localSheetId="3">#REF!</definedName>
    <definedName name="Quality_Records">#REF!</definedName>
    <definedName name="Resolution" localSheetId="3">[3]QTDSCMP_Data!#REF!</definedName>
    <definedName name="Resolution" localSheetId="1">[3]QTDSCMP_Data!#REF!</definedName>
    <definedName name="Resolution">[3]QTDSCMP_Data!#REF!</definedName>
    <definedName name="Risk" localSheetId="3">#REF!</definedName>
    <definedName name="Risk">#REF!</definedName>
    <definedName name="SCIReference" localSheetId="3">[3]QTDSCMP_Data!#REF!</definedName>
    <definedName name="SCIReference" localSheetId="1">[3]QTDSCMP_Data!#REF!</definedName>
    <definedName name="SCIReference">[3]QTDSCMP_Data!#REF!</definedName>
    <definedName name="SCIStatus" localSheetId="3">[3]QTDSCMP_Data!#REF!</definedName>
    <definedName name="SCIStatus" localSheetId="1">[3]QTDSCMP_Data!#REF!</definedName>
    <definedName name="SCIStatus">[3]QTDSCMP_Data!#REF!</definedName>
    <definedName name="SCITools" localSheetId="3">[3]QTDSCMP_Data!#REF!</definedName>
    <definedName name="SCITools" localSheetId="1">[3]QTDSCMP_Data!#REF!</definedName>
    <definedName name="SCITools">[3]QTDSCMP_Data!#REF!</definedName>
    <definedName name="SCM_Access" localSheetId="3">[4]User_Groups_Access!#REF!</definedName>
    <definedName name="SCM_Access" localSheetId="1">[4]User_Groups_Access!#REF!</definedName>
    <definedName name="SCM_Access">[4]User_Groups_Access!#REF!</definedName>
    <definedName name="ScrumMaster" localSheetId="3">#REF!</definedName>
    <definedName name="ScrumMaster" localSheetId="1">#REF!</definedName>
    <definedName name="ScrumMaster">#REF!</definedName>
    <definedName name="Severity" localSheetId="3">#REF!</definedName>
    <definedName name="Severity" localSheetId="1">#REF!</definedName>
    <definedName name="Severity">#REF!</definedName>
    <definedName name="Software_Configuration_Management_Team" localSheetId="3">'[4]SCM_Team&amp;ReleaseNumberingScheme'!#REF!</definedName>
    <definedName name="Software_Configuration_Management_Team" localSheetId="1">'[4]SCM_Team&amp;ReleaseNumberingScheme'!#REF!</definedName>
    <definedName name="Software_Configuration_Management_Team">'[4]SCM_Team&amp;ReleaseNumberingScheme'!#REF!</definedName>
    <definedName name="State_of_Origin" localSheetId="3">#REF!</definedName>
    <definedName name="State_of_Origin" localSheetId="1">#REF!</definedName>
    <definedName name="State_of_Origin">#REF!</definedName>
    <definedName name="Status" localSheetId="3">#REF!</definedName>
    <definedName name="Status">#REF!</definedName>
    <definedName name="Team" localSheetId="3">#REF!</definedName>
    <definedName name="Team">#REF!</definedName>
    <definedName name="Type" localSheetId="3">#REF!</definedName>
    <definedName name="Type">#REF!</definedName>
  </definedNames>
  <calcPr calcId="124519"/>
</workbook>
</file>

<file path=xl/calcChain.xml><?xml version="1.0" encoding="utf-8"?>
<calcChain xmlns="http://schemas.openxmlformats.org/spreadsheetml/2006/main">
  <c r="G8" i="9"/>
  <c r="F8"/>
  <c r="E8"/>
  <c r="D8"/>
  <c r="G7"/>
  <c r="F7"/>
  <c r="E7"/>
  <c r="D7"/>
  <c r="G6"/>
  <c r="F6"/>
  <c r="E6"/>
</calcChain>
</file>

<file path=xl/sharedStrings.xml><?xml version="1.0" encoding="utf-8"?>
<sst xmlns="http://schemas.openxmlformats.org/spreadsheetml/2006/main" count="334" uniqueCount="172">
  <si>
    <t>Retail Banking System</t>
  </si>
  <si>
    <t>Product Backlog</t>
  </si>
  <si>
    <t>Prepared By / Last Updated By</t>
  </si>
  <si>
    <t>Reviewed By</t>
  </si>
  <si>
    <t>Approved By</t>
  </si>
  <si>
    <t>Name</t>
  </si>
  <si>
    <t>Role</t>
  </si>
  <si>
    <t>Signature</t>
  </si>
  <si>
    <t>Date</t>
  </si>
  <si>
    <t>Backlog Worksheet</t>
  </si>
  <si>
    <t>This sheet has to be filled while doing "Create Product Backlog" task in the Initial Envisioning Phase.</t>
  </si>
  <si>
    <t>The Product backlog worksheet contains a list of features/requirements that the business would want to implement in an application. This worksheet would continue to exist from the beginning to the end of the project. The Product Owner maintains it by adding, modifying, removing any of the items listed there. They can also change the priority of the items so long as they are not being worked by the team in the ongoing Sprint. Most of the re-ordering would happen just before the Sprint Planning meeting. To ensure this kind of continuous update, this worksheet could be re-visited during periodic intervals once during the release elaboration Phase and thereafter during the project execution. The changes to the Product backlog could be triggered from several sources in terms of inclusion of new features / bugs/ known issues based on the stakeholder requests  and the effort, schedule for the same would also be re-visited in the product backlog worksheet. Fill the following fields in the product backlog worksheet for each feature.</t>
  </si>
  <si>
    <t>User Story ID</t>
  </si>
  <si>
    <t xml:space="preserve">&lt;Provide unique ID for each User story&gt;
</t>
  </si>
  <si>
    <t>User Story Name</t>
  </si>
  <si>
    <t>&lt;Provide the theme/name of the User story or a high level requirement&gt;
Eg: User login
Registration
Mail notification</t>
  </si>
  <si>
    <t>User Story Role</t>
  </si>
  <si>
    <r>
      <rPr>
        <sz val="10"/>
        <rFont val="Arial"/>
        <charset val="134"/>
      </rPr>
      <t xml:space="preserve">&lt; Provide who would be end User  of the User story&gt;. 
Details of who would use that functionality
Eg:End User
Admin
Teacher
</t>
    </r>
    <r>
      <rPr>
        <sz val="10"/>
        <color theme="4" tint="-0.249977111117893"/>
        <rFont val="Arial"/>
        <charset val="134"/>
      </rPr>
      <t>Conference attendee</t>
    </r>
  </si>
  <si>
    <t>User Story Details</t>
  </si>
  <si>
    <r>
      <rPr>
        <sz val="10"/>
        <rFont val="Arial"/>
        <charset val="134"/>
      </rPr>
      <t xml:space="preserve">&lt;Provide description of  what the User want&gt;
Provide details on "As a/an" particular user what the user wants.
Eg: </t>
    </r>
    <r>
      <rPr>
        <sz val="10"/>
        <color theme="4" tint="-0.249977111117893"/>
        <rFont val="Arial"/>
        <charset val="134"/>
      </rPr>
      <t>As a conference attendee, I want to be able to register online</t>
    </r>
  </si>
  <si>
    <t>Acceptance criteria</t>
  </si>
  <si>
    <r>
      <rPr>
        <sz val="10"/>
        <rFont val="Arial"/>
        <charset val="134"/>
      </rPr>
      <t xml:space="preserve">&lt;Specify the Acceptance criteria&gt;
Acceptance criteria define the boundaries of a user story, and are used to confirm when a story is completed and working as intended. 
So for the above example, the acceptance criteria could include: </t>
    </r>
    <r>
      <rPr>
        <sz val="10"/>
        <color theme="4" tint="-0.249977111117893"/>
        <rFont val="Arial"/>
        <charset val="134"/>
      </rPr>
      <t xml:space="preserve">
A user cannot submit a form without completing all the mandatory fields
Information from the form is stored in the registrations database.</t>
    </r>
  </si>
  <si>
    <t>Sprint</t>
  </si>
  <si>
    <t>Sprint in which the user story is planned to completed. Select it from the drop down. Story Point is given in Fibonacci series of upto 21. For any User story if the estimation goes beyond 21, then the user story has to be broken down.</t>
  </si>
  <si>
    <t>Story point</t>
  </si>
  <si>
    <t>A story point is a metric used in agile project management and development to determine (or estimate) the difficulty of implementing a given story. 
Select the story point that will be assigned to the user story from the drop down (in Fibonacci series) during the sprint planning meeting while estimating an user story.</t>
  </si>
  <si>
    <t>Done</t>
  </si>
  <si>
    <t>Yes/No field, that can be selected from drop down based on an user is completed or not</t>
  </si>
  <si>
    <t>Added in Sprint</t>
  </si>
  <si>
    <t>Provide sprint number when the particular User Story was handled</t>
  </si>
  <si>
    <t>Closed in sprint</t>
  </si>
  <si>
    <t>Provide sprint number when the particular User Story was completed</t>
  </si>
  <si>
    <t>Actual Story Points</t>
  </si>
  <si>
    <t xml:space="preserve">Actual story point burned for an user story while developing. Select from the drop down (in Fibonacci series) </t>
  </si>
  <si>
    <t>Charts</t>
  </si>
  <si>
    <t>This value is non-editable.
Represents the Sprint numbers</t>
  </si>
  <si>
    <t>Story Points remaining</t>
  </si>
  <si>
    <t>Enter the total story points calculated for the Sprint.</t>
  </si>
  <si>
    <t>Enter the total story points that was "Done" in the sprint</t>
  </si>
  <si>
    <t>Variation</t>
  </si>
  <si>
    <t>This value is non-editable.
Variation is calculated as [(Current sprint's story point remaining + done) - (Previous sprint's story point remaining + done) + Previous sprint's variation]</t>
  </si>
  <si>
    <t>Percent Complete</t>
  </si>
  <si>
    <t>Percentage completed is calculated as [(Done story point of the sprint/(Done story point + story point remaining)) *100]</t>
  </si>
  <si>
    <t>Release Burn Down Chart</t>
  </si>
  <si>
    <t>1. A typical release Burn Down chart would enable the Product Owner to assess as to how each iteration is progressing towards realizing the release goal. They would be able to assess the number of features that are going to make it (or) not make it to the release based on the number of features  delivered  by the team in each iteration.
2. Based on the progress being made by the team, the Product Owner may decide to add more Sprints within a release (if it is a feature driven release) or cut down some of the features from the Release backlog (if it is a Date driven release).
The release burn down chart would be automatically plotted based on the data given on the Release burn down table with story points remaining and the done.</t>
  </si>
  <si>
    <t>User Story Id</t>
  </si>
  <si>
    <t>Priority</t>
  </si>
  <si>
    <t>Story Point</t>
  </si>
  <si>
    <t>US_1</t>
  </si>
  <si>
    <t>Role Selection</t>
  </si>
  <si>
    <t>User/Admin</t>
  </si>
  <si>
    <t>Ability of the system to display the options to select from the different roles to which a user would like to register.</t>
  </si>
  <si>
    <t>1. Whenever a user opens the page, the underlying screen should show the choices to choose from the various jobs to which a user might want to enroll.
2. The roles to be displayed as "User" or "Admin"</t>
  </si>
  <si>
    <t>Critical</t>
  </si>
  <si>
    <t>Sprint 1</t>
  </si>
  <si>
    <t>Yes</t>
  </si>
  <si>
    <t>yes</t>
  </si>
  <si>
    <t>US_2</t>
  </si>
  <si>
    <t>User Registration and Login</t>
  </si>
  <si>
    <t>Customer</t>
  </si>
  <si>
    <t>Ability of the system to procure the fundamental details of the User, save the user details in the Database and allow user login</t>
  </si>
  <si>
    <t>1. When the customer clicks on the User role, it should re-direct to registration form
2. User needs to fill some of the basic attributes/fields as mentioned below in requirement: First Name, Last Name, Age, Gender, Contact Number, User Id, Password
3. Clicking ‘Submit’ should validate the datatype constraints for each field
4. User failing to provide information on the mandatory fields be provided with an alert message – ‘Please update the highlighted mandatory field(s).’ Also, highlight the missed out field in red
5. Post-successful field level validation, save the information in the database
6. Upon saving the information in the database, display the message, ‘Your details are submitted successfully’.</t>
  </si>
  <si>
    <t>US_3</t>
  </si>
  <si>
    <t>User Authentication</t>
  </si>
  <si>
    <t>Ability of the system to authenticate the  credentials of the registered Customer</t>
  </si>
  <si>
    <t>1. A registered user – is able to click ‘Login’ link, after keying in ‘User ID’ &amp; ‘Password’ field and get his credentials authenticated with the existing database entry.
2. A user whose registration is rejected – is unable to login and get the credentials authenticated, the user is presented with relevant error messages:
Invalid User ID (or) Incorrect Password</t>
  </si>
  <si>
    <t>US_4</t>
  </si>
  <si>
    <t>Admin</t>
  </si>
  <si>
    <t>Ability of the system to procure the fundamental details of the Contract Admin, save the user details in the Database and allow user login</t>
  </si>
  <si>
    <t>1. When the user clicks on the "Contract Admin" role, it should re-direct to registration form
2. User needs to fill some of the basic attributes/fields as mentioned below in requirement: First Name, Last Name, Age, Gender, Contact Number, Customer Id, Password
3. Clicking ‘Submit’ should validate the datatype constraints for each field
4. User failing to provide information on the mandatory fields be provided with an alert message – ‘Please update the highlighted mandatory field(s).’ Also, highlight the missed out field in red
5. Post-successful field level validation, save the information in the database
6. Upon saving the information in the database, display the message, ‘Your details are submitted successfully’.
7. Contract Admin should be able to view the New Customers for registration
8. Contract Admin should approve / reject the Customer Request.
9. If rejected, the Customer should not be allowed to login with the registered credentials</t>
  </si>
  <si>
    <t>US_5</t>
  </si>
  <si>
    <t>Ability of the system to authenticate the  credentials of the registered Admin</t>
  </si>
  <si>
    <t>1. On clicking "create Account "should redirect to the customer  Account Creation page                                                              2.Employee should be aable to fill the mandatory fields of the Customer ID ,OPENING AMOUNT ,ACCOUNT TYPE,OPENING DATE ,OWNER NAME    3.Clicking 'create'should validate the datatype constrains to each fields                                               4.user failing to provide information on the mandatory fields                                                       5.post-succesfull field level validation ,save the information in the data base</t>
  </si>
  <si>
    <t>US_6</t>
  </si>
  <si>
    <t>Contract Admin Requirement</t>
  </si>
  <si>
    <t xml:space="preserve"> Admin</t>
  </si>
  <si>
    <t>Ability of the system to allow Contract Admin to update the requirement.</t>
  </si>
  <si>
    <t>1. Contract Admin on clicking Create Requirement link should redirect to the Requirement creation page
2. Contract Admin needs to fill some of the basic attributes/fields as mentioned below in requirement: Req ID, Req Type, Requirement description, Expected Delivery date 
3. Clicking ‘Submit’ should validate the datatype constraints for each field
4. Contract Admin failing to provide information on the mandatory fields be provided with an alert message – ‘Please update the highlighted mandatory field(s).’ Also, highlight the missed out field in red
5. Post-successful field level validation, save the information in the database
6. Upon saving the information in the database, display the message, ‘Your details are submitted successfully’.</t>
  </si>
  <si>
    <t>US_7</t>
  </si>
  <si>
    <t>View Requirement</t>
  </si>
  <si>
    <t>Ability of the system to allow Customer to view the requirement</t>
  </si>
  <si>
    <t>1. Customer on clicking the link "View requirement" should be redirected to the requirement page
2. The requirement page should display all the requirements, which matches the Customer type and the requirement type.
3. On clicking the requirement ID, the system should display all the details of the requirement</t>
  </si>
  <si>
    <t>US_8</t>
  </si>
  <si>
    <t>Send Proposal</t>
  </si>
  <si>
    <t>Ability of the Customers to send proposal for the requirement</t>
  </si>
  <si>
    <t>1. User needs to fill some of the basic fields as mentioned below in th requirement Account ID.       2.User failing to provide info on the mandatory fields be provided with an alert message                 3.Clicking 'Deposit Amount'should validate the datatype constrains for each fields and display 'Deposit Successfully  Done'</t>
  </si>
  <si>
    <t>US_9</t>
  </si>
  <si>
    <t>Approve / reject proposal</t>
  </si>
  <si>
    <t>Ability of the system to allow the Contract Admin to validate all the proposals submitted and approve / reject it</t>
  </si>
  <si>
    <t>1. user needs to maintain the minimum balance to avoid the service issue                                                2.on clicking'deduct' should display the message'Service Charge Deducted'</t>
  </si>
  <si>
    <t>US_10</t>
  </si>
  <si>
    <t>Proposal Revisit</t>
  </si>
  <si>
    <t>Ability of the system to allow Contract Admin to validate all the proposals submitted and send it for revisit</t>
  </si>
  <si>
    <t>1. A registered user – is able to click ‘Login’ link, after keying in ‘User ID’ &amp; ‘Password’ field and get his credentials authenticated with the existing database entry.
2. A user whose registration is rejected – is unable to login and get the credential</t>
  </si>
  <si>
    <t>Medium</t>
  </si>
  <si>
    <t>Sprint 2</t>
  </si>
  <si>
    <t>US_11</t>
  </si>
  <si>
    <t>View Proposal Status</t>
  </si>
  <si>
    <t>Ability of the system to allow Customers to view the status of the proposal</t>
  </si>
  <si>
    <t>1. Customer should be able to view the status of the proposals he have submitted.
Possible values – Submitted, Approved, Rejected, To be Revisited
2. If To be revisited status, Customer can revisit the proposal and submit it again.
3. Customer can revise the proposal or provide justification for the quotation.</t>
  </si>
  <si>
    <t>US_12</t>
  </si>
  <si>
    <t>Approve / reject revisited proposal</t>
  </si>
  <si>
    <t>Ability of the system to allow Contract Admin to validate all the proposals revisited and approve / reject it</t>
  </si>
  <si>
    <t>1. The status of the Proposal should be updated in the database. Possible values – Approved, Rejected.</t>
  </si>
  <si>
    <t>US_13</t>
  </si>
  <si>
    <t>Creating Contract</t>
  </si>
  <si>
    <t xml:space="preserve">Ability of the system to create Contract. Update Terms and conditions of contract.
</t>
  </si>
  <si>
    <t>1. On clicking “Create Contract”, it should redirect to the Contract Creation Page.
2. Customer should be able to update the mandatory fields of the Contract - Contract id, type of contract, contract duration etc
3. Update Terms and Conditions for the contract
4. Clicking ‘Submit’ should validate the datatype constraints for each field
5. Customer failing to provide information on the mandatory fields be provided with an alert message – ‘Please update the highlighted mandatory field(s).’ Also, highlight the missed out field in red
6. Post-successful field level validation, save the information in the database
7. Upon saving the information in the database, display the message, ‘Your details are submitted successfully’.</t>
  </si>
  <si>
    <t>US_14</t>
  </si>
  <si>
    <t>Setting Amenities</t>
  </si>
  <si>
    <t>Ability of the system to set amenities for the created contract.</t>
  </si>
  <si>
    <t>1. On clicking “Set Amenities” link the system should display all the contract IDs created by the Customer
2. Customer should click on the contract ID for which the Amenities has to be created.
3. The page to set Amenities should be displayed
4. Customer should be able to set the Amenities for the created contract
5. Clicking ‘Submit’ should validate the datatype constraints for each field
6. Customer failing to provide information on the mandatory fields be provided with an alert message – ‘Please update the highlighted mandatory field(s).’ Also, highlight the missed out field in red
7. Post-successful field level validation, save the information in the database
8. Upon saving the information in the database, display the message, ‘Your details are submitted successfully’.</t>
  </si>
  <si>
    <t>US_15</t>
  </si>
  <si>
    <t>Submit Admin</t>
  </si>
  <si>
    <t>Ability of the system to submit the created contract.</t>
  </si>
  <si>
    <t>1. When  User clicks on “Submit Contract” the contract with terms and Conditions and Amenities should be submitted to Admin for approval.</t>
  </si>
  <si>
    <t>US_16</t>
  </si>
  <si>
    <t>Edit/Modify Admin</t>
  </si>
  <si>
    <t>Ability of the system to edit/modify the created contract.</t>
  </si>
  <si>
    <t>1. When  User clicks contract ID, it should allow editing or modifying of the contract
2. Edited or Modified Contract on submission should sent to Admin for approval.</t>
  </si>
  <si>
    <t>US_17</t>
  </si>
  <si>
    <t>View admin</t>
  </si>
  <si>
    <t>Ability of the system to view the created contracts.</t>
  </si>
  <si>
    <t>1. When  User clicks on Contract List link, it should display all the contracts created by the Customer.
2. When Admin clicks on Contract List link, it should display all the contracts created by the entire User.</t>
  </si>
  <si>
    <t>US_18</t>
  </si>
  <si>
    <t>Manage Banking service</t>
  </si>
  <si>
    <t>Ability of the system to allow the user to update the Banking service status</t>
  </si>
  <si>
    <t>1. Customer on clicking Manage Delivery should list all the active contract IDs
2. Customer should be able to update the status of delivery by clicking the contract ID.</t>
  </si>
  <si>
    <t>US_19</t>
  </si>
  <si>
    <t>View banking status</t>
  </si>
  <si>
    <t>Ability of the system to allow Admin to view the banking status</t>
  </si>
  <si>
    <t>1. Admin on clicking View Delivery should list all the active contract IDs
2. Contract Admin should be able to view the status of delivery by clicking the contract ID.</t>
  </si>
  <si>
    <t>US_20</t>
  </si>
  <si>
    <t>Close contract / extend contract</t>
  </si>
  <si>
    <t>Ability of the system to allow Admin to close / extend the contract based on the service / requirement.</t>
  </si>
  <si>
    <t>1.  Admin on clicking Contracts link should list all the active contracts.
2. Admin should be able to close or extend the contract based on the requirement / service.</t>
  </si>
  <si>
    <t>US_21</t>
  </si>
  <si>
    <t>Admin report</t>
  </si>
  <si>
    <t>Ability of the system to allow Contract Admin to generate report on the contracts / Customers</t>
  </si>
  <si>
    <t>1. Contract Admin on clicking Generate report should display Two options: Contracts, Customers
On selecting Customer should list all the Customer in contract with the Admin
3. On clicking Contracts, should list all the active contracts with the Admin.</t>
  </si>
  <si>
    <t>US_22</t>
  </si>
  <si>
    <t>User report</t>
  </si>
  <si>
    <t>User</t>
  </si>
  <si>
    <t>Ability of the system to allow user to generate report on the proposals</t>
  </si>
  <si>
    <t>1. User on clicking Generate report should display Two options: Contracts, Proposal
2. On selecting Proposal should list all the Proposals, the Customer have submitted.
3. On clicking Admin, should list all the Admin the User have submitted.</t>
  </si>
  <si>
    <t>US_23</t>
  </si>
  <si>
    <t>Admin feedback</t>
  </si>
  <si>
    <t>Ability of the system to allow  Admin to send feedback reports to the user when closing the admin.</t>
  </si>
  <si>
    <t>1. When Admin closes the contract, the system should Popup the feedback form.
2. Admin should be able to fill in his feedback and submit it.
3. Upon submission, the feedback should be updated in the DB.</t>
  </si>
  <si>
    <t>Low</t>
  </si>
  <si>
    <t>US_24</t>
  </si>
  <si>
    <t>View feedback</t>
  </si>
  <si>
    <t>Ability of the system to allow Customer to view the feedback from the Admin</t>
  </si>
  <si>
    <t>1. Useron clicking Feedback, should display all the contract Ids for which Admin have submitted the Feedback
2. On clicking the User ID, it should display the feedback from the  Admin.</t>
  </si>
  <si>
    <t>US_25</t>
  </si>
  <si>
    <t>Other validations</t>
  </si>
  <si>
    <t>Admin/Customer</t>
  </si>
  <si>
    <t>Ability of the system to allow add on validations like Forgot User ID, Forgot Password</t>
  </si>
  <si>
    <t>1. During registration, System should pop up three secret questions for Password recovery.
2. When the user clicks Forgot User ID, system should ask for the secret questions. On answering the questions correctly, the User ID should be displayed.
3. When the user clicks Forgot Password, system should ask for the User ID and secret questions. On answering the questions correctly, the password reset page should be displayed.
4. On entering the details in the password reset page, password should be validated
5. On clicking Submit, the details should be saved to the Database</t>
  </si>
  <si>
    <t>US_26</t>
  </si>
  <si>
    <t>Customer / Admin logoff</t>
  </si>
  <si>
    <t>Ability of the system to enable User / Admin to logoff</t>
  </si>
  <si>
    <t>1. Option to log off the user from the system.</t>
  </si>
  <si>
    <t>Release Burndown</t>
  </si>
  <si>
    <t>Only edit shaded columns, others are calculated</t>
  </si>
  <si>
    <t>Story points</t>
  </si>
  <si>
    <t>Min</t>
  </si>
  <si>
    <t>Max</t>
  </si>
  <si>
    <t>Remaining</t>
  </si>
  <si>
    <t>No</t>
  </si>
  <si>
    <r>
      <t xml:space="preserve">Product Backlog                               Instructions
</t>
    </r>
    <r>
      <rPr>
        <sz val="9"/>
        <color indexed="23"/>
        <rFont val="Arial"/>
        <charset val="134"/>
      </rPr>
      <t xml:space="preserve">                                                                                               MARS: Protected          Controlled Copy</t>
    </r>
  </si>
  <si>
    <r>
      <t xml:space="preserve"> Product Backlog                               Retail Banking System
 </t>
    </r>
    <r>
      <rPr>
        <sz val="9"/>
        <color rgb="FF808080"/>
        <rFont val="Arial"/>
        <charset val="134"/>
      </rPr>
      <t>Project ID: 2767                                  MARS: Protected          Controlled Copy</t>
    </r>
  </si>
</sst>
</file>

<file path=xl/styles.xml><?xml version="1.0" encoding="utf-8"?>
<styleSheet xmlns="http://schemas.openxmlformats.org/spreadsheetml/2006/main">
  <fonts count="26">
    <font>
      <sz val="11"/>
      <color theme="1"/>
      <name val="Calibri"/>
      <charset val="134"/>
      <scheme val="minor"/>
    </font>
    <font>
      <sz val="10"/>
      <color theme="1"/>
      <name val="Arial"/>
      <charset val="134"/>
    </font>
    <font>
      <sz val="10"/>
      <color theme="0" tint="-0.499984740745262"/>
      <name val="Arial"/>
      <charset val="134"/>
    </font>
    <font>
      <sz val="20"/>
      <color theme="1"/>
      <name val="Arial"/>
      <charset val="134"/>
    </font>
    <font>
      <b/>
      <sz val="10"/>
      <color theme="1"/>
      <name val="Arial"/>
      <charset val="134"/>
    </font>
    <font>
      <b/>
      <sz val="10"/>
      <color theme="0" tint="-0.499984740745262"/>
      <name val="Arial"/>
      <charset val="134"/>
    </font>
    <font>
      <sz val="10"/>
      <name val="Arial"/>
      <charset val="134"/>
    </font>
    <font>
      <sz val="9"/>
      <color theme="1"/>
      <name val="Arial"/>
      <charset val="134"/>
    </font>
    <font>
      <b/>
      <sz val="13"/>
      <color rgb="FF800000"/>
      <name val="Arial"/>
      <charset val="134"/>
    </font>
    <font>
      <b/>
      <sz val="13"/>
      <color indexed="16"/>
      <name val="Arial"/>
      <charset val="134"/>
    </font>
    <font>
      <b/>
      <sz val="9"/>
      <color theme="1"/>
      <name val="Arial"/>
      <charset val="134"/>
    </font>
    <font>
      <b/>
      <sz val="10"/>
      <color theme="0"/>
      <name val="Arial"/>
      <charset val="134"/>
    </font>
    <font>
      <b/>
      <sz val="10"/>
      <color indexed="16"/>
      <name val="Arial"/>
      <charset val="134"/>
    </font>
    <font>
      <sz val="10"/>
      <color theme="0"/>
      <name val="Arial"/>
      <charset val="134"/>
    </font>
    <font>
      <b/>
      <sz val="10"/>
      <name val="Arial"/>
      <charset val="134"/>
    </font>
    <font>
      <i/>
      <sz val="10"/>
      <name val="Arial"/>
      <charset val="134"/>
    </font>
    <font>
      <b/>
      <sz val="14"/>
      <name val="Arial"/>
      <charset val="134"/>
    </font>
    <font>
      <b/>
      <sz val="20"/>
      <color indexed="18"/>
      <name val="Arial"/>
      <charset val="134"/>
    </font>
    <font>
      <sz val="14"/>
      <name val="Arial"/>
      <charset val="134"/>
    </font>
    <font>
      <b/>
      <sz val="16"/>
      <color indexed="18"/>
      <name val="Arial"/>
      <charset val="134"/>
    </font>
    <font>
      <u/>
      <sz val="11"/>
      <name val="Arial"/>
      <charset val="134"/>
    </font>
    <font>
      <b/>
      <sz val="10"/>
      <color indexed="8"/>
      <name val="Arial"/>
      <charset val="134"/>
    </font>
    <font>
      <sz val="9"/>
      <color indexed="23"/>
      <name val="Arial"/>
      <charset val="134"/>
    </font>
    <font>
      <b/>
      <i/>
      <sz val="10"/>
      <name val="Arial"/>
      <charset val="134"/>
    </font>
    <font>
      <sz val="9"/>
      <color rgb="FF808080"/>
      <name val="Arial"/>
      <charset val="134"/>
    </font>
    <font>
      <sz val="10"/>
      <color theme="4" tint="-0.249977111117893"/>
      <name val="Arial"/>
      <charset val="134"/>
    </font>
  </fonts>
  <fills count="11">
    <fill>
      <patternFill patternType="none"/>
    </fill>
    <fill>
      <patternFill patternType="gray125"/>
    </fill>
    <fill>
      <patternFill patternType="solid">
        <fgColor theme="3" tint="0.79992065187536243"/>
        <bgColor indexed="64"/>
      </patternFill>
    </fill>
    <fill>
      <patternFill patternType="solid">
        <fgColor theme="0"/>
        <bgColor indexed="64"/>
      </patternFill>
    </fill>
    <fill>
      <patternFill patternType="solid">
        <fgColor theme="8" tint="0.79992065187536243"/>
        <bgColor indexed="64"/>
      </patternFill>
    </fill>
    <fill>
      <patternFill patternType="solid">
        <fgColor rgb="FF002060"/>
        <bgColor indexed="64"/>
      </patternFill>
    </fill>
    <fill>
      <patternFill patternType="solid">
        <fgColor theme="9" tint="-0.249977111117893"/>
        <bgColor indexed="64"/>
      </patternFill>
    </fill>
    <fill>
      <patternFill patternType="solid">
        <fgColor rgb="FF00B050"/>
        <bgColor indexed="64"/>
      </patternFill>
    </fill>
    <fill>
      <patternFill patternType="solid">
        <fgColor rgb="FF92D050"/>
        <bgColor indexed="64"/>
      </patternFill>
    </fill>
    <fill>
      <patternFill patternType="solid">
        <fgColor indexed="9"/>
        <bgColor indexed="64"/>
      </patternFill>
    </fill>
    <fill>
      <patternFill patternType="solid">
        <fgColor indexed="22"/>
        <bgColor indexed="64"/>
      </patternFill>
    </fill>
  </fills>
  <borders count="15">
    <border>
      <left/>
      <right/>
      <top/>
      <bottom/>
      <diagonal/>
    </border>
    <border>
      <left/>
      <right/>
      <top/>
      <bottom style="medium">
        <color auto="1"/>
      </bottom>
      <diagonal/>
    </border>
    <border>
      <left/>
      <right style="thin">
        <color auto="1"/>
      </right>
      <top/>
      <bottom/>
      <diagonal/>
    </border>
    <border>
      <left/>
      <right/>
      <top/>
      <bottom style="thick">
        <color indexed="0"/>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s>
  <cellStyleXfs count="3">
    <xf numFmtId="0" fontId="0" fillId="0" borderId="0"/>
    <xf numFmtId="0" fontId="6" fillId="0" borderId="0"/>
    <xf numFmtId="0" fontId="6" fillId="0" borderId="0"/>
  </cellStyleXfs>
  <cellXfs count="120">
    <xf numFmtId="0" fontId="0" fillId="0" borderId="0" xfId="0"/>
    <xf numFmtId="0" fontId="1" fillId="0" borderId="0" xfId="0" applyFont="1" applyProtection="1"/>
    <xf numFmtId="0" fontId="2" fillId="0" borderId="0" xfId="0" applyFont="1" applyProtection="1"/>
    <xf numFmtId="0" fontId="3" fillId="0" borderId="0" xfId="0" applyFont="1" applyProtection="1"/>
    <xf numFmtId="0" fontId="4" fillId="0" borderId="1" xfId="0" applyFont="1" applyBorder="1" applyProtection="1"/>
    <xf numFmtId="0" fontId="1" fillId="0" borderId="2" xfId="0" applyFont="1" applyBorder="1" applyProtection="1"/>
    <xf numFmtId="0" fontId="1" fillId="2" borderId="0" xfId="0" applyFont="1" applyFill="1" applyProtection="1">
      <protection locked="0"/>
    </xf>
    <xf numFmtId="0" fontId="1" fillId="2" borderId="0" xfId="0" applyFont="1" applyFill="1" applyBorder="1" applyProtection="1">
      <protection locked="0"/>
    </xf>
    <xf numFmtId="0" fontId="1" fillId="0" borderId="0" xfId="0" applyFont="1" applyBorder="1" applyProtection="1"/>
    <xf numFmtId="0" fontId="6" fillId="0" borderId="3" xfId="2" applyFont="1" applyFill="1" applyBorder="1" applyAlignment="1" applyProtection="1">
      <alignment horizontal="justify" vertical="center" wrapText="1"/>
      <protection locked="0"/>
    </xf>
    <xf numFmtId="0" fontId="7" fillId="3" borderId="0" xfId="0" applyFont="1" applyFill="1" applyAlignment="1" applyProtection="1">
      <alignment vertical="top" wrapText="1"/>
      <protection locked="0"/>
    </xf>
    <xf numFmtId="0" fontId="7" fillId="0" borderId="0" xfId="0" applyFont="1" applyAlignment="1" applyProtection="1">
      <alignment horizontal="center" vertical="center" wrapText="1"/>
    </xf>
    <xf numFmtId="0" fontId="7" fillId="0" borderId="0" xfId="0" applyFont="1" applyAlignment="1" applyProtection="1">
      <alignment vertical="top" wrapText="1"/>
      <protection locked="0"/>
    </xf>
    <xf numFmtId="0" fontId="7" fillId="0" borderId="0" xfId="0" applyFont="1" applyAlignment="1" applyProtection="1">
      <alignment vertical="top"/>
      <protection locked="0"/>
    </xf>
    <xf numFmtId="0" fontId="9" fillId="0" borderId="0" xfId="2" applyFont="1" applyFill="1" applyBorder="1" applyAlignment="1" applyProtection="1">
      <alignment horizontal="center" vertical="center" wrapText="1"/>
      <protection locked="0"/>
    </xf>
    <xf numFmtId="0" fontId="11" fillId="5" borderId="7" xfId="0" applyFont="1" applyFill="1" applyBorder="1" applyAlignment="1" applyProtection="1">
      <alignment horizontal="center" vertical="center" wrapText="1"/>
    </xf>
    <xf numFmtId="0" fontId="11" fillId="6" borderId="7" xfId="0" applyFont="1" applyFill="1" applyBorder="1" applyAlignment="1" applyProtection="1">
      <alignment horizontal="center" vertical="center" wrapText="1"/>
    </xf>
    <xf numFmtId="0" fontId="7" fillId="0" borderId="7" xfId="0" applyFont="1" applyBorder="1" applyAlignment="1" applyProtection="1">
      <alignment vertical="top" wrapText="1"/>
      <protection locked="0"/>
    </xf>
    <xf numFmtId="0" fontId="7" fillId="3" borderId="7" xfId="0" applyFont="1" applyFill="1" applyBorder="1" applyAlignment="1" applyProtection="1">
      <alignment vertical="top" wrapText="1"/>
      <protection locked="0"/>
    </xf>
    <xf numFmtId="0" fontId="7" fillId="3" borderId="7" xfId="0" applyFont="1" applyFill="1" applyBorder="1" applyAlignment="1" applyProtection="1">
      <alignment vertical="top"/>
      <protection locked="0"/>
    </xf>
    <xf numFmtId="0" fontId="1" fillId="3" borderId="7" xfId="0" applyFont="1" applyFill="1" applyBorder="1" applyAlignment="1">
      <alignment vertical="top"/>
    </xf>
    <xf numFmtId="0" fontId="1" fillId="3" borderId="7" xfId="0" applyFont="1" applyFill="1" applyBorder="1" applyAlignment="1">
      <alignment vertical="top" wrapText="1"/>
    </xf>
    <xf numFmtId="0" fontId="1" fillId="3" borderId="7" xfId="0" applyFont="1" applyFill="1" applyBorder="1" applyAlignment="1">
      <alignment wrapText="1"/>
    </xf>
    <xf numFmtId="0" fontId="6" fillId="0" borderId="0" xfId="2" applyFont="1" applyFill="1" applyBorder="1" applyAlignment="1" applyProtection="1">
      <alignment horizontal="justify" vertical="center" wrapText="1"/>
      <protection locked="0"/>
    </xf>
    <xf numFmtId="0" fontId="6" fillId="3" borderId="3" xfId="2" applyFont="1" applyFill="1" applyBorder="1" applyAlignment="1" applyProtection="1">
      <alignment horizontal="justify" vertical="center" wrapText="1"/>
      <protection locked="0"/>
    </xf>
    <xf numFmtId="0" fontId="4" fillId="8" borderId="7" xfId="0" applyFont="1" applyFill="1" applyBorder="1" applyAlignment="1" applyProtection="1">
      <alignment horizontal="center" vertical="center" wrapText="1"/>
    </xf>
    <xf numFmtId="0" fontId="6" fillId="0" borderId="3" xfId="2" applyFont="1" applyFill="1" applyBorder="1" applyAlignment="1">
      <alignment horizontal="justify" vertical="center" wrapText="1"/>
    </xf>
    <xf numFmtId="0" fontId="6" fillId="9" borderId="0" xfId="2" applyFont="1" applyFill="1" applyBorder="1"/>
    <xf numFmtId="0" fontId="6" fillId="9" borderId="0" xfId="2" applyFont="1" applyFill="1"/>
    <xf numFmtId="0" fontId="6" fillId="9" borderId="0" xfId="2" applyFont="1" applyFill="1" applyAlignment="1">
      <alignment horizontal="center"/>
    </xf>
    <xf numFmtId="0" fontId="6" fillId="9" borderId="7" xfId="2" applyFont="1" applyFill="1" applyBorder="1"/>
    <xf numFmtId="0" fontId="6" fillId="9" borderId="7" xfId="2" applyFont="1" applyFill="1" applyBorder="1" applyAlignment="1">
      <alignment horizontal="left" vertical="top" wrapText="1"/>
    </xf>
    <xf numFmtId="0" fontId="14" fillId="4" borderId="7" xfId="0" applyFont="1" applyFill="1" applyBorder="1" applyAlignment="1">
      <alignment vertical="center" wrapText="1"/>
    </xf>
    <xf numFmtId="0" fontId="6" fillId="9" borderId="7" xfId="2" applyFont="1" applyFill="1" applyBorder="1" applyAlignment="1">
      <alignment vertical="top" wrapText="1"/>
    </xf>
    <xf numFmtId="0" fontId="6" fillId="3" borderId="7" xfId="2" applyFont="1" applyFill="1" applyBorder="1" applyAlignment="1">
      <alignment vertical="top" wrapText="1"/>
    </xf>
    <xf numFmtId="0" fontId="6" fillId="3" borderId="7" xfId="2" applyFont="1" applyFill="1" applyBorder="1" applyAlignment="1">
      <alignment horizontal="left" vertical="top" wrapText="1"/>
    </xf>
    <xf numFmtId="0" fontId="14" fillId="4" borderId="7" xfId="2" applyFont="1" applyFill="1" applyBorder="1" applyAlignment="1">
      <alignment vertical="center"/>
    </xf>
    <xf numFmtId="0" fontId="14" fillId="4" borderId="7" xfId="2" applyFont="1" applyFill="1" applyBorder="1" applyAlignment="1">
      <alignment vertical="center" wrapText="1"/>
    </xf>
    <xf numFmtId="0" fontId="14" fillId="9" borderId="0" xfId="2" applyFont="1" applyFill="1" applyBorder="1"/>
    <xf numFmtId="0" fontId="14" fillId="9" borderId="0" xfId="2" applyFont="1" applyFill="1"/>
    <xf numFmtId="0" fontId="6" fillId="3" borderId="3" xfId="2" applyFont="1" applyFill="1" applyBorder="1" applyAlignment="1">
      <alignment horizontal="justify" vertical="center" wrapText="1"/>
    </xf>
    <xf numFmtId="0" fontId="15" fillId="9" borderId="0" xfId="1" applyFont="1" applyFill="1" applyAlignment="1">
      <alignment vertical="top"/>
    </xf>
    <xf numFmtId="0" fontId="6" fillId="9" borderId="0" xfId="1" applyFill="1" applyBorder="1"/>
    <xf numFmtId="0" fontId="6" fillId="9" borderId="0" xfId="1" applyFill="1"/>
    <xf numFmtId="0" fontId="6" fillId="9" borderId="0" xfId="1" applyFont="1" applyFill="1"/>
    <xf numFmtId="0" fontId="6" fillId="9" borderId="0" xfId="1" applyFill="1" applyAlignment="1">
      <alignment horizontal="center"/>
    </xf>
    <xf numFmtId="0" fontId="16" fillId="9" borderId="0" xfId="1" applyFont="1" applyFill="1" applyBorder="1"/>
    <xf numFmtId="0" fontId="6" fillId="9" borderId="0" xfId="1" applyFill="1" applyBorder="1" applyAlignment="1">
      <alignment horizontal="center"/>
    </xf>
    <xf numFmtId="0" fontId="16" fillId="9" borderId="8" xfId="1" applyFont="1" applyFill="1" applyBorder="1"/>
    <xf numFmtId="0" fontId="16" fillId="9" borderId="9" xfId="1" applyFont="1" applyFill="1" applyBorder="1"/>
    <xf numFmtId="0" fontId="6" fillId="9" borderId="9" xfId="1" applyFill="1" applyBorder="1"/>
    <xf numFmtId="0" fontId="6" fillId="9" borderId="10" xfId="1" applyFill="1" applyBorder="1" applyAlignment="1">
      <alignment horizontal="center"/>
    </xf>
    <xf numFmtId="0" fontId="16" fillId="9" borderId="11" xfId="1" applyFont="1" applyFill="1" applyBorder="1"/>
    <xf numFmtId="0" fontId="6" fillId="9" borderId="12" xfId="1" applyFill="1" applyBorder="1" applyAlignment="1">
      <alignment horizontal="center"/>
    </xf>
    <xf numFmtId="0" fontId="6" fillId="9" borderId="11" xfId="1" applyFill="1" applyBorder="1" applyAlignment="1">
      <alignment horizontal="center"/>
    </xf>
    <xf numFmtId="0" fontId="6" fillId="9" borderId="12" xfId="1" applyFill="1" applyBorder="1"/>
    <xf numFmtId="0" fontId="6" fillId="9" borderId="11" xfId="1" applyFill="1" applyBorder="1"/>
    <xf numFmtId="0" fontId="6" fillId="9" borderId="0" xfId="1" applyFont="1" applyFill="1" applyBorder="1"/>
    <xf numFmtId="0" fontId="6" fillId="0" borderId="0" xfId="1"/>
    <xf numFmtId="49" fontId="21" fillId="10" borderId="7" xfId="1" applyNumberFormat="1" applyFont="1" applyFill="1" applyBorder="1" applyAlignment="1">
      <alignment horizontal="center" vertical="center" wrapText="1"/>
    </xf>
    <xf numFmtId="0" fontId="14" fillId="10" borderId="7" xfId="1" applyFont="1" applyFill="1" applyBorder="1" applyAlignment="1">
      <alignment horizontal="justify" vertical="center" wrapText="1"/>
    </xf>
    <xf numFmtId="0" fontId="6" fillId="9" borderId="7" xfId="1" applyFont="1" applyFill="1" applyBorder="1" applyAlignment="1" applyProtection="1">
      <alignment horizontal="center" vertical="center" wrapText="1"/>
      <protection locked="0"/>
    </xf>
    <xf numFmtId="0" fontId="6" fillId="9" borderId="7" xfId="1" applyFont="1" applyFill="1" applyBorder="1" applyAlignment="1" applyProtection="1">
      <alignment horizontal="justify" vertical="center" wrapText="1"/>
      <protection locked="0"/>
    </xf>
    <xf numFmtId="15" fontId="6" fillId="9" borderId="7" xfId="1" applyNumberFormat="1" applyFont="1" applyFill="1" applyBorder="1" applyAlignment="1" applyProtection="1">
      <alignment horizontal="justify" vertical="center" wrapText="1"/>
      <protection locked="0"/>
    </xf>
    <xf numFmtId="0" fontId="15" fillId="9" borderId="0" xfId="1" applyFont="1" applyFill="1" applyBorder="1" applyAlignment="1">
      <alignment vertical="top"/>
    </xf>
    <xf numFmtId="14" fontId="15" fillId="9" borderId="0" xfId="1" applyNumberFormat="1" applyFont="1" applyFill="1" applyBorder="1" applyAlignment="1">
      <alignment horizontal="left"/>
    </xf>
    <xf numFmtId="0" fontId="15" fillId="9" borderId="12" xfId="1" applyFont="1" applyFill="1" applyBorder="1" applyAlignment="1">
      <alignment horizontal="center" vertical="top"/>
    </xf>
    <xf numFmtId="0" fontId="14" fillId="9" borderId="11" xfId="1" applyFont="1" applyFill="1" applyBorder="1"/>
    <xf numFmtId="0" fontId="14" fillId="9" borderId="0" xfId="1" applyFont="1" applyFill="1" applyBorder="1"/>
    <xf numFmtId="0" fontId="15" fillId="9" borderId="0" xfId="1" applyFont="1" applyFill="1" applyBorder="1" applyAlignment="1">
      <alignment horizontal="center"/>
    </xf>
    <xf numFmtId="0" fontId="6" fillId="9" borderId="0" xfId="1" applyFont="1" applyFill="1" applyBorder="1" applyAlignment="1">
      <alignment horizontal="center"/>
    </xf>
    <xf numFmtId="0" fontId="6" fillId="9" borderId="12" xfId="1" applyFont="1" applyFill="1" applyBorder="1" applyAlignment="1">
      <alignment horizontal="center"/>
    </xf>
    <xf numFmtId="0" fontId="22" fillId="9" borderId="13" xfId="1" applyFont="1" applyFill="1" applyBorder="1"/>
    <xf numFmtId="0" fontId="14" fillId="9" borderId="1" xfId="1" applyFont="1" applyFill="1" applyBorder="1"/>
    <xf numFmtId="0" fontId="6" fillId="9" borderId="1" xfId="1" applyFill="1" applyBorder="1"/>
    <xf numFmtId="0" fontId="22" fillId="9" borderId="1" xfId="1" applyFont="1" applyFill="1" applyBorder="1"/>
    <xf numFmtId="0" fontId="6" fillId="9" borderId="14" xfId="1" applyFill="1" applyBorder="1" applyAlignment="1">
      <alignment horizontal="center"/>
    </xf>
    <xf numFmtId="0" fontId="23" fillId="9" borderId="0" xfId="1" applyFont="1" applyFill="1" applyAlignment="1">
      <alignment vertical="top"/>
    </xf>
    <xf numFmtId="0" fontId="14" fillId="9" borderId="0" xfId="1" applyFont="1" applyFill="1" applyAlignment="1">
      <alignment vertical="top"/>
    </xf>
    <xf numFmtId="0" fontId="14" fillId="9" borderId="0" xfId="1" applyFont="1" applyFill="1"/>
    <xf numFmtId="0" fontId="15" fillId="9" borderId="0" xfId="1" applyFont="1" applyFill="1"/>
    <xf numFmtId="0" fontId="17" fillId="9" borderId="11" xfId="1" applyFont="1" applyFill="1" applyBorder="1" applyAlignment="1">
      <alignment horizontal="center" vertical="center" wrapText="1"/>
    </xf>
    <xf numFmtId="0" fontId="17" fillId="9" borderId="0" xfId="1" applyFont="1" applyFill="1" applyBorder="1" applyAlignment="1">
      <alignment horizontal="center" vertical="center" wrapText="1"/>
    </xf>
    <xf numFmtId="0" fontId="17" fillId="9" borderId="12" xfId="1" applyFont="1" applyFill="1" applyBorder="1" applyAlignment="1">
      <alignment horizontal="center" vertical="center" wrapText="1"/>
    </xf>
    <xf numFmtId="0" fontId="18" fillId="9" borderId="11" xfId="1" applyFont="1" applyFill="1" applyBorder="1" applyAlignment="1">
      <alignment horizontal="center" vertical="center" wrapText="1"/>
    </xf>
    <xf numFmtId="0" fontId="18" fillId="9" borderId="0" xfId="1" applyFont="1" applyFill="1" applyBorder="1" applyAlignment="1">
      <alignment horizontal="center" vertical="center" wrapText="1"/>
    </xf>
    <xf numFmtId="0" fontId="18" fillId="9" borderId="12" xfId="1" applyFont="1" applyFill="1" applyBorder="1" applyAlignment="1">
      <alignment horizontal="center" vertical="center" wrapText="1"/>
    </xf>
    <xf numFmtId="0" fontId="19" fillId="9" borderId="11" xfId="1" applyFont="1" applyFill="1" applyBorder="1" applyAlignment="1">
      <alignment horizontal="center" vertical="center" wrapText="1"/>
    </xf>
    <xf numFmtId="0" fontId="19" fillId="9" borderId="0" xfId="1" applyFont="1" applyFill="1" applyBorder="1" applyAlignment="1">
      <alignment horizontal="center" vertical="center" wrapText="1"/>
    </xf>
    <xf numFmtId="0" fontId="19" fillId="9" borderId="12" xfId="1" applyFont="1" applyFill="1" applyBorder="1" applyAlignment="1">
      <alignment horizontal="center" vertical="center" wrapText="1"/>
    </xf>
    <xf numFmtId="0" fontId="20" fillId="9" borderId="11" xfId="1" applyFont="1" applyFill="1" applyBorder="1" applyAlignment="1">
      <alignment horizontal="left"/>
    </xf>
    <xf numFmtId="0" fontId="6" fillId="9" borderId="0" xfId="1" applyFill="1" applyBorder="1" applyAlignment="1">
      <alignment horizontal="left"/>
    </xf>
    <xf numFmtId="0" fontId="6" fillId="9" borderId="12" xfId="1" applyFill="1" applyBorder="1" applyAlignment="1">
      <alignment horizontal="left"/>
    </xf>
    <xf numFmtId="0" fontId="17" fillId="9" borderId="11" xfId="1" applyFont="1" applyFill="1" applyBorder="1" applyAlignment="1" applyProtection="1">
      <alignment horizontal="center" vertical="center" wrapText="1"/>
      <protection locked="0"/>
    </xf>
    <xf numFmtId="0" fontId="17" fillId="9" borderId="0" xfId="1" applyFont="1" applyFill="1" applyBorder="1" applyAlignment="1" applyProtection="1">
      <alignment horizontal="center" vertical="center" wrapText="1"/>
      <protection locked="0"/>
    </xf>
    <xf numFmtId="0" fontId="17" fillId="9" borderId="12" xfId="1" applyFont="1" applyFill="1" applyBorder="1" applyAlignment="1" applyProtection="1">
      <alignment horizontal="center" vertical="center" wrapText="1"/>
      <protection locked="0"/>
    </xf>
    <xf numFmtId="0" fontId="9" fillId="0" borderId="3" xfId="2" applyFont="1" applyFill="1" applyBorder="1" applyAlignment="1">
      <alignment vertical="center" wrapText="1"/>
    </xf>
    <xf numFmtId="0" fontId="12" fillId="0" borderId="3" xfId="2" applyFont="1" applyFill="1" applyBorder="1" applyAlignment="1">
      <alignment vertical="center" wrapText="1"/>
    </xf>
    <xf numFmtId="0" fontId="11" fillId="5" borderId="7" xfId="2" applyFont="1" applyFill="1" applyBorder="1" applyAlignment="1">
      <alignment horizontal="center" vertical="center" wrapText="1"/>
    </xf>
    <xf numFmtId="0" fontId="13" fillId="5" borderId="7" xfId="2" applyFont="1" applyFill="1" applyBorder="1" applyAlignment="1">
      <alignment horizontal="center" vertical="center"/>
    </xf>
    <xf numFmtId="0" fontId="6" fillId="9" borderId="7" xfId="2" applyFont="1" applyFill="1" applyBorder="1" applyAlignment="1">
      <alignment horizontal="left" vertical="top" wrapText="1"/>
    </xf>
    <xf numFmtId="0" fontId="6" fillId="0" borderId="7" xfId="2" applyFont="1" applyBorder="1" applyAlignment="1">
      <alignment horizontal="left" vertical="top" wrapText="1"/>
    </xf>
    <xf numFmtId="0" fontId="8" fillId="0" borderId="4" xfId="2" applyFont="1" applyFill="1" applyBorder="1" applyAlignment="1" applyProtection="1">
      <alignment horizontal="center" vertical="center" wrapText="1"/>
      <protection locked="0"/>
    </xf>
    <xf numFmtId="0" fontId="9" fillId="0" borderId="4" xfId="2" applyFont="1" applyFill="1" applyBorder="1" applyAlignment="1" applyProtection="1">
      <alignment horizontal="center" vertical="center" wrapText="1"/>
      <protection locked="0"/>
    </xf>
    <xf numFmtId="0" fontId="10" fillId="4" borderId="5" xfId="0" applyFont="1" applyFill="1" applyBorder="1" applyAlignment="1" applyProtection="1">
      <alignment horizontal="center" vertical="top" wrapText="1"/>
      <protection locked="0"/>
    </xf>
    <xf numFmtId="0" fontId="10" fillId="4" borderId="6" xfId="0" applyFont="1" applyFill="1" applyBorder="1" applyAlignment="1" applyProtection="1">
      <alignment horizontal="center" vertical="top" wrapText="1"/>
      <protection locked="0"/>
    </xf>
    <xf numFmtId="0" fontId="10" fillId="7" borderId="7" xfId="0" applyFont="1" applyFill="1" applyBorder="1" applyAlignment="1" applyProtection="1">
      <alignment horizontal="center" vertical="center" wrapText="1"/>
      <protection locked="0"/>
    </xf>
    <xf numFmtId="0" fontId="1" fillId="2" borderId="0" xfId="0" applyFont="1" applyFill="1" applyAlignment="1" applyProtection="1"/>
    <xf numFmtId="0" fontId="4" fillId="0" borderId="0" xfId="0" applyFont="1" applyAlignment="1" applyProtection="1"/>
    <xf numFmtId="0" fontId="4" fillId="0" borderId="0" xfId="0" applyFont="1" applyBorder="1" applyAlignment="1" applyProtection="1"/>
    <xf numFmtId="0" fontId="4" fillId="0" borderId="1" xfId="0" applyFont="1" applyBorder="1" applyAlignment="1" applyProtection="1"/>
    <xf numFmtId="0" fontId="4" fillId="0" borderId="0" xfId="0" applyFont="1" applyBorder="1" applyAlignment="1" applyProtection="1">
      <alignment wrapText="1"/>
    </xf>
    <xf numFmtId="0" fontId="4" fillId="0" borderId="1" xfId="0" applyFont="1" applyBorder="1" applyAlignment="1" applyProtection="1">
      <alignment wrapText="1"/>
    </xf>
    <xf numFmtId="0" fontId="5" fillId="0" borderId="0" xfId="0" applyFont="1" applyBorder="1" applyAlignment="1" applyProtection="1"/>
    <xf numFmtId="0" fontId="5" fillId="0" borderId="1" xfId="0" applyFont="1" applyBorder="1" applyAlignment="1" applyProtection="1"/>
    <xf numFmtId="0" fontId="7" fillId="0" borderId="7" xfId="0" applyFont="1" applyBorder="1" applyAlignment="1" applyProtection="1">
      <alignment horizontal="center" vertical="top" wrapText="1"/>
      <protection locked="0"/>
    </xf>
    <xf numFmtId="0" fontId="7" fillId="3" borderId="7" xfId="0" applyFont="1" applyFill="1" applyBorder="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7" fillId="0" borderId="7" xfId="0" applyFont="1" applyBorder="1" applyAlignment="1" applyProtection="1">
      <alignment horizontal="center" vertical="top"/>
      <protection locked="0"/>
    </xf>
    <xf numFmtId="0" fontId="7" fillId="3" borderId="7" xfId="0" applyFont="1" applyFill="1" applyBorder="1" applyAlignment="1" applyProtection="1">
      <alignment horizontal="center" vertical="top"/>
      <protection locked="0"/>
    </xf>
  </cellXfs>
  <cellStyles count="3">
    <cellStyle name="Normal" xfId="0" builtinId="0"/>
    <cellStyle name="Normal 2" xfId="1"/>
    <cellStyle name="Normal 2 2" xfId="2"/>
  </cellStyles>
  <dxfs count="2">
    <dxf>
      <font>
        <strike/>
        <color theme="0" tint="-0.499984740745262"/>
      </font>
    </dxf>
    <dxf>
      <font>
        <strike/>
        <color theme="0" tint="-0.499984740745262"/>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0" vertOverflow="ellipsis" vert="horz" wrap="square" anchor="ctr" anchorCtr="1"/>
          <a:lstStyle/>
          <a:p>
            <a:pPr>
              <a:defRPr lang="en-US" sz="2000" b="1" i="0" u="none" strike="noStrike" kern="1200" baseline="0">
                <a:solidFill>
                  <a:schemeClr val="tx1"/>
                </a:solidFill>
                <a:latin typeface="Arial" panose="020B0604020202020204"/>
                <a:ea typeface="+mn-ea"/>
                <a:cs typeface="Arial" panose="020B0604020202020204"/>
              </a:defRPr>
            </a:pPr>
            <a:r>
              <a:rPr lang="en-US" sz="2000">
                <a:latin typeface="Arial" panose="020B0604020202020204"/>
                <a:cs typeface="Arial" panose="020B0604020202020204"/>
              </a:rPr>
              <a:t>Release Burndown</a:t>
            </a:r>
          </a:p>
        </c:rich>
      </c:tx>
      <c:layout/>
    </c:title>
    <c:plotArea>
      <c:layout>
        <c:manualLayout>
          <c:layoutTarget val="inner"/>
          <c:xMode val="edge"/>
          <c:yMode val="edge"/>
          <c:x val="0.12018078308931801"/>
          <c:y val="0.15416939381317904"/>
          <c:w val="0.84582022033975712"/>
          <c:h val="0.7449937523552641"/>
        </c:manualLayout>
      </c:layout>
      <c:lineChart>
        <c:grouping val="standard"/>
        <c:ser>
          <c:idx val="0"/>
          <c:order val="0"/>
          <c:spPr>
            <a:ln w="28575" cap="rnd" cmpd="sng" algn="ctr">
              <a:solidFill>
                <a:schemeClr val="bg1"/>
              </a:solidFill>
              <a:prstDash val="solid"/>
              <a:round/>
            </a:ln>
          </c:spPr>
          <c:marker>
            <c:symbol val="none"/>
          </c:marker>
          <c:trendline>
            <c:trendlineType val="linear"/>
          </c:trendline>
          <c:cat>
            <c:numRef>
              <c:f>Charts!$A$6:$A$8</c:f>
              <c:numCache>
                <c:formatCode>General</c:formatCode>
                <c:ptCount val="3"/>
                <c:pt idx="0">
                  <c:v>1</c:v>
                </c:pt>
                <c:pt idx="1">
                  <c:v>2</c:v>
                </c:pt>
                <c:pt idx="2">
                  <c:v>3</c:v>
                </c:pt>
              </c:numCache>
            </c:numRef>
          </c:cat>
          <c:val>
            <c:numRef>
              <c:f>Charts!$F$6:$F$8</c:f>
              <c:numCache>
                <c:formatCode>General</c:formatCode>
                <c:ptCount val="3"/>
                <c:pt idx="0">
                  <c:v>0</c:v>
                </c:pt>
                <c:pt idx="1">
                  <c:v>-145</c:v>
                </c:pt>
                <c:pt idx="2">
                  <c:v>-135</c:v>
                </c:pt>
              </c:numCache>
            </c:numRef>
          </c:val>
        </c:ser>
        <c:ser>
          <c:idx val="1"/>
          <c:order val="1"/>
          <c:spPr>
            <a:ln w="28575" cap="rnd" cmpd="sng" algn="ctr">
              <a:solidFill>
                <a:schemeClr val="bg1"/>
              </a:solidFill>
              <a:prstDash val="solid"/>
              <a:round/>
            </a:ln>
          </c:spPr>
          <c:marker>
            <c:symbol val="none"/>
          </c:marker>
          <c:trendline>
            <c:trendlineType val="linear"/>
          </c:trendline>
          <c:cat>
            <c:numRef>
              <c:f>Charts!$A$6:$A$8</c:f>
              <c:numCache>
                <c:formatCode>General</c:formatCode>
                <c:ptCount val="3"/>
                <c:pt idx="0">
                  <c:v>1</c:v>
                </c:pt>
                <c:pt idx="1">
                  <c:v>2</c:v>
                </c:pt>
                <c:pt idx="2">
                  <c:v>3</c:v>
                </c:pt>
              </c:numCache>
            </c:numRef>
          </c:cat>
          <c:val>
            <c:numRef>
              <c:f>Charts!$G$6:$G$8</c:f>
              <c:numCache>
                <c:formatCode>General</c:formatCode>
                <c:ptCount val="3"/>
                <c:pt idx="0">
                  <c:v>100</c:v>
                </c:pt>
                <c:pt idx="1">
                  <c:v>25</c:v>
                </c:pt>
                <c:pt idx="2">
                  <c:v>55</c:v>
                </c:pt>
              </c:numCache>
            </c:numRef>
          </c:val>
        </c:ser>
        <c:dLbls/>
        <c:upDownBars>
          <c:gapWidth val="150"/>
          <c:upBars>
            <c:spPr>
              <a:solidFill>
                <a:schemeClr val="accent1"/>
              </a:solidFill>
              <a:ln w="9525" cap="flat" cmpd="sng" algn="ctr">
                <a:solidFill>
                  <a:schemeClr val="accent1"/>
                </a:solidFill>
                <a:prstDash val="solid"/>
                <a:round/>
              </a:ln>
            </c:spPr>
          </c:upBars>
          <c:downBars/>
        </c:upDownBars>
        <c:marker val="1"/>
        <c:axId val="116265728"/>
        <c:axId val="116267648"/>
      </c:lineChart>
      <c:catAx>
        <c:axId val="116265728"/>
        <c:scaling>
          <c:orientation val="minMax"/>
        </c:scaling>
        <c:axPos val="b"/>
        <c:title>
          <c:tx>
            <c:rich>
              <a:bodyPr rot="0" spcFirstLastPara="0" vertOverflow="ellipsis" vert="horz" wrap="square" anchor="ctr" anchorCtr="1"/>
              <a:lstStyle/>
              <a:p>
                <a:pPr>
                  <a:defRPr lang="en-US" sz="1600" b="1" i="0" u="none" strike="noStrike" kern="1200" baseline="0">
                    <a:solidFill>
                      <a:schemeClr val="tx1"/>
                    </a:solidFill>
                    <a:latin typeface="Arial" panose="020B0604020202020204" pitchFamily="7" charset="0"/>
                    <a:ea typeface="+mn-ea"/>
                    <a:cs typeface="Arial" panose="020B0604020202020204" pitchFamily="7" charset="0"/>
                  </a:defRPr>
                </a:pPr>
                <a:r>
                  <a:rPr lang="en-AU" sz="1600">
                    <a:latin typeface="Arial" panose="020B0604020202020204" pitchFamily="7" charset="0"/>
                    <a:cs typeface="Arial" panose="020B0604020202020204" pitchFamily="7" charset="0"/>
                  </a:rPr>
                  <a:t>Sprint</a:t>
                </a:r>
              </a:p>
            </c:rich>
          </c:tx>
          <c:layout/>
        </c:title>
        <c:numFmt formatCode="#,##0;\-#,##0" sourceLinked="0"/>
        <c:tickLblPos val="nextTo"/>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267648"/>
        <c:crosses val="autoZero"/>
        <c:auto val="1"/>
        <c:lblAlgn val="ctr"/>
        <c:lblOffset val="100"/>
      </c:catAx>
      <c:valAx>
        <c:axId val="116267648"/>
        <c:scaling>
          <c:orientation val="minMax"/>
        </c:scaling>
        <c:axPos val="l"/>
        <c:majorGridlines/>
        <c:title>
          <c:tx>
            <c:rich>
              <a:bodyPr rot="-5400000" spcFirstLastPara="0" vertOverflow="ellipsis" vert="horz" wrap="square" anchor="ctr" anchorCtr="1"/>
              <a:lstStyle/>
              <a:p>
                <a:pPr>
                  <a:defRPr lang="en-US" sz="1600" b="1" i="0" u="none" strike="noStrike" kern="1200" baseline="0">
                    <a:solidFill>
                      <a:schemeClr val="tx1"/>
                    </a:solidFill>
                    <a:latin typeface="Arial" panose="020B0604020202020204" pitchFamily="7" charset="0"/>
                    <a:ea typeface="+mn-ea"/>
                    <a:cs typeface="Arial" panose="020B0604020202020204" pitchFamily="7" charset="0"/>
                  </a:defRPr>
                </a:pPr>
                <a:r>
                  <a:rPr lang="en-US"/>
                  <a:t>Story Points</a:t>
                </a:r>
              </a:p>
            </c:rich>
          </c:tx>
          <c:layout/>
        </c:title>
        <c:numFmt formatCode="General" sourceLinked="1"/>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16265728"/>
        <c:crosses val="autoZero"/>
        <c:crossBetween val="between"/>
      </c:valAx>
    </c:plotArea>
    <c:plotVisOnly val="1"/>
    <c:dispBlanksAs val="gap"/>
  </c:chart>
  <c:txPr>
    <a:bodyPr/>
    <a:lstStyle/>
    <a:p>
      <a:pPr>
        <a:defRPr lang="en-US"/>
      </a:pPr>
      <a:endParaRPr lang="en-US"/>
    </a:p>
  </c:txPr>
  <c:printSettings>
    <c:headerFooter/>
    <c:pageMargins b="0.75000000000000011" l="0.70000000000000007" r="0.70000000000000007" t="0.75000000000000011" header="0.30000000000000004" footer="0.30000000000000004"/>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104775</xdr:colOff>
      <xdr:row>1</xdr:row>
      <xdr:rowOff>219075</xdr:rowOff>
    </xdr:from>
    <xdr:to>
      <xdr:col>7</xdr:col>
      <xdr:colOff>0</xdr:colOff>
      <xdr:row>2</xdr:row>
      <xdr:rowOff>219075</xdr:rowOff>
    </xdr:to>
    <xdr:sp macro="" textlink="">
      <xdr:nvSpPr>
        <xdr:cNvPr id="2" name="Text Box 1"/>
        <xdr:cNvSpPr txBox="1">
          <a:spLocks noChangeArrowheads="1"/>
        </xdr:cNvSpPr>
      </xdr:nvSpPr>
      <xdr:spPr>
        <a:xfrm>
          <a:off x="1402080" y="457200"/>
          <a:ext cx="663003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3" name="Line 3"/>
        <xdr:cNvSpPr>
          <a:spLocks noChangeShapeType="1"/>
        </xdr:cNvSpPr>
      </xdr:nvSpPr>
      <xdr:spPr>
        <a:xfrm>
          <a:off x="319405" y="438150"/>
          <a:ext cx="7712710" cy="0"/>
        </a:xfrm>
        <a:prstGeom prst="line">
          <a:avLst/>
        </a:prstGeom>
        <a:noFill/>
        <a:ln w="9525">
          <a:solidFill>
            <a:srgbClr val="969696"/>
          </a:solidFill>
          <a:round/>
        </a:ln>
        <a:extLst>
          <a:ext uri="{909E8E84-426E-40DD-AFC4-6F175D3DCCD1}">
            <a14:hiddenFill xmlns:a14="http://schemas.microsoft.com/office/drawing/2010/main" xmlns:r="http://schemas.openxmlformats.org/officeDocument/2006/relationships" xmlns="">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4" name="Line 4"/>
        <xdr:cNvSpPr>
          <a:spLocks noChangeShapeType="1"/>
        </xdr:cNvSpPr>
      </xdr:nvSpPr>
      <xdr:spPr>
        <a:xfrm>
          <a:off x="319405" y="666750"/>
          <a:ext cx="7712710" cy="0"/>
        </a:xfrm>
        <a:prstGeom prst="line">
          <a:avLst/>
        </a:prstGeom>
        <a:noFill/>
        <a:ln w="9525">
          <a:solidFill>
            <a:srgbClr val="969696"/>
          </a:solidFill>
          <a:round/>
        </a:ln>
        <a:extLst>
          <a:ext uri="{909E8E84-426E-40DD-AFC4-6F175D3DCCD1}">
            <a14:hiddenFill xmlns:a14="http://schemas.microsoft.com/office/drawing/2010/main" xmlns:r="http://schemas.openxmlformats.org/officeDocument/2006/relationships" xmlns="">
              <a:noFill/>
            </a14:hiddenFill>
          </a:ext>
        </a:extLst>
      </xdr:spPr>
    </xdr:sp>
    <xdr:clientData/>
  </xdr:twoCellAnchor>
  <xdr:twoCellAnchor>
    <xdr:from>
      <xdr:col>3</xdr:col>
      <xdr:colOff>504825</xdr:colOff>
      <xdr:row>30</xdr:row>
      <xdr:rowOff>142875</xdr:rowOff>
    </xdr:from>
    <xdr:to>
      <xdr:col>5</xdr:col>
      <xdr:colOff>581025</xdr:colOff>
      <xdr:row>31</xdr:row>
      <xdr:rowOff>133350</xdr:rowOff>
    </xdr:to>
    <xdr:sp macro="" textlink="">
      <xdr:nvSpPr>
        <xdr:cNvPr id="6" name="Text Box 6"/>
        <xdr:cNvSpPr txBox="1">
          <a:spLocks noChangeArrowheads="1"/>
        </xdr:cNvSpPr>
      </xdr:nvSpPr>
      <xdr:spPr>
        <a:xfrm>
          <a:off x="2610485" y="7721600"/>
          <a:ext cx="2820035" cy="149225"/>
        </a:xfrm>
        <a:prstGeom prst="rect">
          <a:avLst/>
        </a:prstGeom>
        <a:noFill/>
        <a:ln>
          <a:noFill/>
        </a:ln>
        <a:extLst>
          <a:ext uri="{909E8E84-426E-40DD-AFC4-6F175D3DCCD1}">
            <a14:hiddenFill xmlns:a14="http://schemas.microsoft.com/office/drawing/2010/main" xmlns:r="http://schemas.openxmlformats.org/officeDocument/2006/relationships" xmlns="">
              <a:solidFill>
                <a:srgbClr val="FFFFFF"/>
              </a:solidFill>
            </a14:hiddenFill>
          </a:ext>
          <a:ext uri="{91240B29-F687-4F45-9708-019B960494DF}">
            <a14:hiddenLine xmlns:a14="http://schemas.microsoft.com/office/drawing/2010/main" xmlns:r="http://schemas.openxmlformats.org/officeDocument/2006/relationships" xmlns="" w="9525">
              <a:solidFill>
                <a:srgbClr val="000000"/>
              </a:solidFill>
              <a:miter lim="800000"/>
              <a:headEnd/>
              <a:tailEnd/>
            </a14:hiddenLine>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7" name="Text Box 7"/>
        <xdr:cNvSpPr txBox="1">
          <a:spLocks noChangeArrowheads="1"/>
        </xdr:cNvSpPr>
      </xdr:nvSpPr>
      <xdr:spPr>
        <a:xfrm>
          <a:off x="1402080" y="457200"/>
          <a:ext cx="663003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8" name="Line 9"/>
        <xdr:cNvSpPr>
          <a:spLocks noChangeShapeType="1"/>
        </xdr:cNvSpPr>
      </xdr:nvSpPr>
      <xdr:spPr>
        <a:xfrm>
          <a:off x="319405" y="438150"/>
          <a:ext cx="7712710" cy="0"/>
        </a:xfrm>
        <a:prstGeom prst="line">
          <a:avLst/>
        </a:prstGeom>
        <a:noFill/>
        <a:ln w="9525">
          <a:solidFill>
            <a:srgbClr val="969696"/>
          </a:solidFill>
          <a:round/>
        </a:ln>
        <a:extLst>
          <a:ext uri="{909E8E84-426E-40DD-AFC4-6F175D3DCCD1}">
            <a14:hiddenFill xmlns:a14="http://schemas.microsoft.com/office/drawing/2010/main" xmlns:r="http://schemas.openxmlformats.org/officeDocument/2006/relationships" xmlns="">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9" name="Line 10"/>
        <xdr:cNvSpPr>
          <a:spLocks noChangeShapeType="1"/>
        </xdr:cNvSpPr>
      </xdr:nvSpPr>
      <xdr:spPr>
        <a:xfrm>
          <a:off x="319405" y="666750"/>
          <a:ext cx="7712710" cy="0"/>
        </a:xfrm>
        <a:prstGeom prst="line">
          <a:avLst/>
        </a:prstGeom>
        <a:noFill/>
        <a:ln w="9525">
          <a:solidFill>
            <a:srgbClr val="969696"/>
          </a:solidFill>
          <a:round/>
        </a:ln>
        <a:extLst>
          <a:ext uri="{909E8E84-426E-40DD-AFC4-6F175D3DCCD1}">
            <a14:hiddenFill xmlns:a14="http://schemas.microsoft.com/office/drawing/2010/main" xmlns:r="http://schemas.openxmlformats.org/officeDocument/2006/relationships" xmlns="">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1" name="Text Box 13"/>
        <xdr:cNvSpPr txBox="1">
          <a:spLocks noChangeArrowheads="1"/>
        </xdr:cNvSpPr>
      </xdr:nvSpPr>
      <xdr:spPr>
        <a:xfrm>
          <a:off x="1402080" y="457200"/>
          <a:ext cx="663003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0</xdr:colOff>
      <xdr:row>1</xdr:row>
      <xdr:rowOff>200025</xdr:rowOff>
    </xdr:from>
    <xdr:to>
      <xdr:col>7</xdr:col>
      <xdr:colOff>0</xdr:colOff>
      <xdr:row>1</xdr:row>
      <xdr:rowOff>200025</xdr:rowOff>
    </xdr:to>
    <xdr:sp macro="" textlink="">
      <xdr:nvSpPr>
        <xdr:cNvPr id="12" name="Line 15"/>
        <xdr:cNvSpPr>
          <a:spLocks noChangeShapeType="1"/>
        </xdr:cNvSpPr>
      </xdr:nvSpPr>
      <xdr:spPr>
        <a:xfrm>
          <a:off x="319405" y="438150"/>
          <a:ext cx="7712710" cy="0"/>
        </a:xfrm>
        <a:prstGeom prst="line">
          <a:avLst/>
        </a:prstGeom>
        <a:noFill/>
        <a:ln w="9525">
          <a:solidFill>
            <a:srgbClr val="969696"/>
          </a:solidFill>
          <a:round/>
        </a:ln>
        <a:extLst>
          <a:ext uri="{909E8E84-426E-40DD-AFC4-6F175D3DCCD1}">
            <a14:hiddenFill xmlns:a14="http://schemas.microsoft.com/office/drawing/2010/main" xmlns:r="http://schemas.openxmlformats.org/officeDocument/2006/relationships" xmlns="">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3" name="Line 16"/>
        <xdr:cNvSpPr>
          <a:spLocks noChangeShapeType="1"/>
        </xdr:cNvSpPr>
      </xdr:nvSpPr>
      <xdr:spPr>
        <a:xfrm>
          <a:off x="319405" y="666750"/>
          <a:ext cx="7712710" cy="0"/>
        </a:xfrm>
        <a:prstGeom prst="line">
          <a:avLst/>
        </a:prstGeom>
        <a:noFill/>
        <a:ln w="9525">
          <a:solidFill>
            <a:srgbClr val="969696"/>
          </a:solidFill>
          <a:round/>
        </a:ln>
        <a:extLst>
          <a:ext uri="{909E8E84-426E-40DD-AFC4-6F175D3DCCD1}">
            <a14:hiddenFill xmlns:a14="http://schemas.microsoft.com/office/drawing/2010/main" xmlns:r="http://schemas.openxmlformats.org/officeDocument/2006/relationships" xmlns="">
              <a:noFill/>
            </a14:hiddenFill>
          </a:ext>
        </a:extLst>
      </xdr:spPr>
    </xdr:sp>
    <xdr:clientData/>
  </xdr:twoCellAnchor>
  <xdr:twoCellAnchor>
    <xdr:from>
      <xdr:col>2</xdr:col>
      <xdr:colOff>104775</xdr:colOff>
      <xdr:row>1</xdr:row>
      <xdr:rowOff>219075</xdr:rowOff>
    </xdr:from>
    <xdr:to>
      <xdr:col>7</xdr:col>
      <xdr:colOff>0</xdr:colOff>
      <xdr:row>2</xdr:row>
      <xdr:rowOff>219075</xdr:rowOff>
    </xdr:to>
    <xdr:sp macro="" textlink="">
      <xdr:nvSpPr>
        <xdr:cNvPr id="15" name="Text Box 19"/>
        <xdr:cNvSpPr txBox="1">
          <a:spLocks noChangeArrowheads="1"/>
        </xdr:cNvSpPr>
      </xdr:nvSpPr>
      <xdr:spPr>
        <a:xfrm>
          <a:off x="1402080" y="457200"/>
          <a:ext cx="6630035" cy="228600"/>
        </a:xfrm>
        <a:prstGeom prst="rect">
          <a:avLst/>
        </a:prstGeom>
        <a:solidFill>
          <a:srgbClr val="FFFFFF"/>
        </a:solidFill>
        <a:ln w="9525">
          <a:noFill/>
          <a:miter lim="800000"/>
        </a:ln>
      </xdr:spPr>
      <xdr:txBody>
        <a:bodyPr vertOverflow="clip" wrap="square" lIns="91440" tIns="0" rIns="91440" bIns="0" anchor="t" upright="1"/>
        <a:lstStyle/>
        <a:p>
          <a:pPr algn="ctr" rtl="0">
            <a:defRPr sz="1000"/>
          </a:pPr>
          <a:r>
            <a:rPr lang="en-US" sz="1000" b="1" i="0" strike="noStrike">
              <a:solidFill>
                <a:srgbClr val="969696"/>
              </a:solidFill>
              <a:latin typeface="Arial" panose="020B0604020202020204"/>
              <a:cs typeface="Arial" panose="020B0604020202020204"/>
            </a:rPr>
            <a:t>Controlled Copy</a:t>
          </a:r>
        </a:p>
        <a:p>
          <a:pPr algn="ctr" rtl="0">
            <a:defRPr sz="1000"/>
          </a:pPr>
          <a:endParaRPr lang="en-US" sz="1000" b="1" i="0" strike="noStrike">
            <a:solidFill>
              <a:srgbClr val="969696"/>
            </a:solidFill>
            <a:latin typeface="Arial" panose="020B0604020202020204"/>
            <a:cs typeface="Arial" panose="020B0604020202020204"/>
          </a:endParaRPr>
        </a:p>
      </xdr:txBody>
    </xdr:sp>
    <xdr:clientData/>
  </xdr:twoCellAnchor>
  <xdr:twoCellAnchor>
    <xdr:from>
      <xdr:col>1</xdr:col>
      <xdr:colOff>314325</xdr:colOff>
      <xdr:row>12</xdr:row>
      <xdr:rowOff>142875</xdr:rowOff>
    </xdr:from>
    <xdr:to>
      <xdr:col>6</xdr:col>
      <xdr:colOff>847725</xdr:colOff>
      <xdr:row>19</xdr:row>
      <xdr:rowOff>152400</xdr:rowOff>
    </xdr:to>
    <xdr:pic>
      <xdr:nvPicPr>
        <xdr:cNvPr id="16" name="Picture 20" descr="content"/>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xmlns="" val="0"/>
            </a:ext>
          </a:extLst>
        </a:blip>
        <a:srcRect l="52499" b="83333"/>
        <a:stretch>
          <a:fillRect/>
        </a:stretch>
      </xdr:blipFill>
      <xdr:spPr>
        <a:xfrm>
          <a:off x="633730" y="3759200"/>
          <a:ext cx="6998970" cy="1120775"/>
        </a:xfrm>
        <a:prstGeom prst="rect">
          <a:avLst/>
        </a:prstGeom>
        <a:noFill/>
        <a:ln>
          <a:noFill/>
        </a:ln>
        <a:extLst>
          <a:ext uri="{909E8E84-426E-40DD-AFC4-6F175D3DCCD1}">
            <a14:hiddenFill xmlns:a14="http://schemas.microsoft.com/office/drawing/2010/main" xmlns:r="http://schemas.openxmlformats.org/officeDocument/2006/relationships" xmlns="">
              <a:solidFill>
                <a:srgbClr val="FFFFFF"/>
              </a:solidFill>
            </a14:hiddenFill>
          </a:ext>
          <a:ext uri="{91240B29-F687-4F45-9708-019B960494DF}">
            <a14:hiddenLine xmlns:a14="http://schemas.microsoft.com/office/drawing/2010/main" xmlns:r="http://schemas.openxmlformats.org/officeDocument/2006/relationships" xmlns="" w="9525">
              <a:solidFill>
                <a:srgbClr val="000000"/>
              </a:solidFill>
              <a:miter lim="800000"/>
              <a:headEnd/>
              <a:tailEnd/>
            </a14:hiddenLine>
          </a:ext>
        </a:extLst>
      </xdr:spPr>
    </xdr:pic>
    <xdr:clientData/>
  </xdr:twoCellAnchor>
  <xdr:twoCellAnchor>
    <xdr:from>
      <xdr:col>1</xdr:col>
      <xdr:colOff>0</xdr:colOff>
      <xdr:row>1</xdr:row>
      <xdr:rowOff>200025</xdr:rowOff>
    </xdr:from>
    <xdr:to>
      <xdr:col>7</xdr:col>
      <xdr:colOff>0</xdr:colOff>
      <xdr:row>1</xdr:row>
      <xdr:rowOff>200025</xdr:rowOff>
    </xdr:to>
    <xdr:sp macro="" textlink="">
      <xdr:nvSpPr>
        <xdr:cNvPr id="17" name="Line 21"/>
        <xdr:cNvSpPr>
          <a:spLocks noChangeShapeType="1"/>
        </xdr:cNvSpPr>
      </xdr:nvSpPr>
      <xdr:spPr>
        <a:xfrm>
          <a:off x="319405" y="438150"/>
          <a:ext cx="7712710" cy="0"/>
        </a:xfrm>
        <a:prstGeom prst="line">
          <a:avLst/>
        </a:prstGeom>
        <a:noFill/>
        <a:ln w="9525">
          <a:solidFill>
            <a:srgbClr val="969696"/>
          </a:solidFill>
          <a:round/>
        </a:ln>
        <a:extLst>
          <a:ext uri="{909E8E84-426E-40DD-AFC4-6F175D3DCCD1}">
            <a14:hiddenFill xmlns:a14="http://schemas.microsoft.com/office/drawing/2010/main" xmlns:r="http://schemas.openxmlformats.org/officeDocument/2006/relationships" xmlns="">
              <a:noFill/>
            </a14:hiddenFill>
          </a:ext>
        </a:extLst>
      </xdr:spPr>
    </xdr:sp>
    <xdr:clientData/>
  </xdr:twoCellAnchor>
  <xdr:twoCellAnchor>
    <xdr:from>
      <xdr:col>1</xdr:col>
      <xdr:colOff>0</xdr:colOff>
      <xdr:row>2</xdr:row>
      <xdr:rowOff>200025</xdr:rowOff>
    </xdr:from>
    <xdr:to>
      <xdr:col>7</xdr:col>
      <xdr:colOff>0</xdr:colOff>
      <xdr:row>2</xdr:row>
      <xdr:rowOff>200025</xdr:rowOff>
    </xdr:to>
    <xdr:sp macro="" textlink="">
      <xdr:nvSpPr>
        <xdr:cNvPr id="18" name="Line 22"/>
        <xdr:cNvSpPr>
          <a:spLocks noChangeShapeType="1"/>
        </xdr:cNvSpPr>
      </xdr:nvSpPr>
      <xdr:spPr>
        <a:xfrm>
          <a:off x="319405" y="666750"/>
          <a:ext cx="7712710" cy="0"/>
        </a:xfrm>
        <a:prstGeom prst="line">
          <a:avLst/>
        </a:prstGeom>
        <a:noFill/>
        <a:ln w="9525">
          <a:solidFill>
            <a:srgbClr val="969696"/>
          </a:solidFill>
          <a:round/>
        </a:ln>
        <a:extLst>
          <a:ext uri="{909E8E84-426E-40DD-AFC4-6F175D3DCCD1}">
            <a14:hiddenFill xmlns:a14="http://schemas.microsoft.com/office/drawing/2010/main" xmlns:r="http://schemas.openxmlformats.org/officeDocument/2006/relationships" xmlns="">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9525</xdr:colOff>
      <xdr:row>0</xdr:row>
      <xdr:rowOff>9525</xdr:rowOff>
    </xdr:from>
    <xdr:to>
      <xdr:col>17</xdr:col>
      <xdr:colOff>533400</xdr:colOff>
      <xdr:row>15</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cp31297\sw%20dfss\WINDOWS\TEMP\docs2\6SIGMA\CLASS\gb%20datafiles\DFSS\Analysi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sinentsiwr\qa\CTS\Quality\SCM\SCM_Items_Stagewise_052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DFTTRK.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sintdlsqaa\Quality\Documents%20and%20Settings\105557\Desktop\QTDM-SCMPL.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nalysis"/>
    </sheetNames>
    <definedNames>
      <definedName name="Calc_sens2"/>
      <definedName name="Clear_sens2"/>
    </definedNames>
    <sheetDataSet>
      <sheetData sheetId="0"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CMG"/>
      <sheetName val="Access Rights - Large projects"/>
      <sheetName val="Access Rights - Small projects"/>
      <sheetName val="Access Rights"/>
      <sheetName val="Change Request Details"/>
      <sheetName val="Change Request - Template Code"/>
      <sheetName val="List of SCI tools"/>
      <sheetName val="List Of SCI Codes"/>
      <sheetName val="SCI Metrics"/>
      <sheetName val="Data"/>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Defect_Log"/>
      <sheetName val="Defect_Resolution"/>
      <sheetName val="DefectTypes_Causes"/>
      <sheetName val="QTDSCMP_Data"/>
    </sheetNames>
    <sheetDataSet>
      <sheetData sheetId="0"/>
      <sheetData sheetId="1"/>
      <sheetData sheetId="2"/>
      <sheetData sheetId="3"/>
      <sheetData sheetId="4"/>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ver Page"/>
      <sheetName val="SCM_Team&amp;ReleaseNumberingScheme"/>
      <sheetName val="Project_SCIs"/>
      <sheetName val="Quality_Records"/>
      <sheetName val="Proj_Lib_Bckup_Archival"/>
      <sheetName val="User_Groups_Access"/>
      <sheetName val="User_Access "/>
      <sheetName val="QTDSCMP_Data"/>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H35"/>
  <sheetViews>
    <sheetView topLeftCell="A13" workbookViewId="0">
      <selection activeCell="D25" sqref="D25:D28"/>
    </sheetView>
  </sheetViews>
  <sheetFormatPr defaultColWidth="9.85546875" defaultRowHeight="12.75"/>
  <cols>
    <col min="1" max="1" width="4.5703125" style="42" customWidth="1"/>
    <col min="2" max="2" width="14" style="43" customWidth="1"/>
    <col min="3" max="3" width="11.5703125" style="44" customWidth="1"/>
    <col min="4" max="4" width="19.5703125" style="43" customWidth="1"/>
    <col min="5" max="5" width="19.7109375" style="43" customWidth="1"/>
    <col min="6" max="6" width="27.7109375" style="43" customWidth="1"/>
    <col min="7" max="7" width="17.85546875" style="45" customWidth="1"/>
    <col min="8" max="16384" width="9.85546875" style="43"/>
  </cols>
  <sheetData>
    <row r="1" spans="2:7" ht="18">
      <c r="B1" s="46"/>
      <c r="C1" s="46"/>
      <c r="D1" s="42"/>
      <c r="E1" s="42"/>
      <c r="F1" s="42"/>
      <c r="G1" s="47"/>
    </row>
    <row r="2" spans="2:7" ht="18">
      <c r="B2" s="48"/>
      <c r="C2" s="49"/>
      <c r="D2" s="50"/>
      <c r="E2" s="50"/>
      <c r="F2" s="50"/>
      <c r="G2" s="51"/>
    </row>
    <row r="3" spans="2:7" ht="18">
      <c r="B3" s="52"/>
      <c r="C3" s="46"/>
      <c r="D3" s="42"/>
      <c r="E3" s="42"/>
      <c r="F3" s="42"/>
      <c r="G3" s="53"/>
    </row>
    <row r="4" spans="2:7" ht="18">
      <c r="B4" s="52"/>
      <c r="C4" s="46"/>
      <c r="D4" s="42"/>
      <c r="E4" s="42"/>
      <c r="F4" s="42"/>
      <c r="G4" s="53"/>
    </row>
    <row r="5" spans="2:7" ht="18">
      <c r="B5" s="52"/>
      <c r="C5" s="46"/>
      <c r="D5" s="42"/>
      <c r="E5" s="42"/>
      <c r="F5" s="42"/>
      <c r="G5" s="53"/>
    </row>
    <row r="6" spans="2:7" ht="20.25" customHeight="1">
      <c r="B6" s="81"/>
      <c r="C6" s="82"/>
      <c r="D6" s="82"/>
      <c r="E6" s="82"/>
      <c r="F6" s="82"/>
      <c r="G6" s="83"/>
    </row>
    <row r="7" spans="2:7" ht="21" customHeight="1">
      <c r="B7" s="81"/>
      <c r="C7" s="82"/>
      <c r="D7" s="82"/>
      <c r="E7" s="82"/>
      <c r="F7" s="82"/>
      <c r="G7" s="83"/>
    </row>
    <row r="8" spans="2:7" ht="29.25" customHeight="1">
      <c r="B8" s="93" t="s">
        <v>0</v>
      </c>
      <c r="C8" s="94"/>
      <c r="D8" s="94"/>
      <c r="E8" s="94"/>
      <c r="F8" s="94"/>
      <c r="G8" s="95"/>
    </row>
    <row r="9" spans="2:7" ht="29.25" customHeight="1">
      <c r="B9" s="93"/>
      <c r="C9" s="94"/>
      <c r="D9" s="94"/>
      <c r="E9" s="94"/>
      <c r="F9" s="94"/>
      <c r="G9" s="95"/>
    </row>
    <row r="10" spans="2:7" ht="55.5" customHeight="1">
      <c r="B10" s="81" t="s">
        <v>1</v>
      </c>
      <c r="C10" s="82"/>
      <c r="D10" s="82"/>
      <c r="E10" s="82"/>
      <c r="F10" s="82"/>
      <c r="G10" s="83"/>
    </row>
    <row r="11" spans="2:7" ht="18.75" customHeight="1">
      <c r="B11" s="84"/>
      <c r="C11" s="85"/>
      <c r="D11" s="85"/>
      <c r="E11" s="85"/>
      <c r="F11" s="85"/>
      <c r="G11" s="86"/>
    </row>
    <row r="12" spans="2:7" ht="20.25">
      <c r="B12" s="87"/>
      <c r="C12" s="88"/>
      <c r="D12" s="88"/>
      <c r="E12" s="88"/>
      <c r="F12" s="88"/>
      <c r="G12" s="89"/>
    </row>
    <row r="13" spans="2:7">
      <c r="B13" s="54"/>
      <c r="C13" s="47"/>
      <c r="D13" s="47"/>
      <c r="E13" s="47"/>
      <c r="F13" s="47"/>
      <c r="G13" s="55"/>
    </row>
    <row r="14" spans="2:7">
      <c r="B14" s="56"/>
      <c r="C14" s="57"/>
      <c r="D14" s="42"/>
      <c r="E14" s="42"/>
      <c r="F14" s="42"/>
      <c r="G14" s="55"/>
    </row>
    <row r="15" spans="2:7">
      <c r="B15" s="56"/>
      <c r="C15" s="57"/>
      <c r="D15" s="42"/>
      <c r="E15" s="42"/>
      <c r="F15" s="42"/>
      <c r="G15" s="55"/>
    </row>
    <row r="16" spans="2:7">
      <c r="B16" s="56"/>
      <c r="C16" s="57"/>
      <c r="D16" s="42"/>
      <c r="E16" s="42"/>
      <c r="F16" s="42"/>
      <c r="G16" s="55"/>
    </row>
    <row r="17" spans="1:8">
      <c r="B17" s="56"/>
      <c r="C17" s="57"/>
      <c r="D17" s="42"/>
      <c r="E17" s="42"/>
      <c r="F17" s="42"/>
      <c r="G17" s="55"/>
    </row>
    <row r="18" spans="1:8">
      <c r="B18" s="56"/>
      <c r="C18" s="57"/>
      <c r="D18" s="42"/>
      <c r="E18" s="42"/>
      <c r="F18" s="42"/>
      <c r="G18" s="55"/>
    </row>
    <row r="19" spans="1:8">
      <c r="B19" s="56"/>
      <c r="C19" s="57"/>
      <c r="D19" s="42"/>
      <c r="E19" s="42"/>
      <c r="F19" s="42"/>
      <c r="G19" s="55"/>
    </row>
    <row r="20" spans="1:8" ht="14.25">
      <c r="B20" s="90"/>
      <c r="C20" s="91"/>
      <c r="D20" s="91"/>
      <c r="E20" s="91"/>
      <c r="F20" s="91"/>
      <c r="G20" s="92"/>
      <c r="H20" s="58"/>
    </row>
    <row r="21" spans="1:8">
      <c r="B21" s="56"/>
      <c r="C21" s="57"/>
      <c r="D21" s="42"/>
      <c r="E21" s="42"/>
      <c r="F21" s="42"/>
      <c r="G21" s="55"/>
    </row>
    <row r="22" spans="1:8">
      <c r="B22" s="56"/>
      <c r="C22" s="57"/>
      <c r="D22" s="42"/>
      <c r="E22" s="42"/>
      <c r="F22" s="42"/>
      <c r="G22" s="55"/>
    </row>
    <row r="23" spans="1:8">
      <c r="B23" s="56"/>
      <c r="C23" s="57"/>
      <c r="D23" s="42"/>
      <c r="E23" s="42"/>
      <c r="F23" s="42"/>
      <c r="G23" s="55"/>
    </row>
    <row r="24" spans="1:8" ht="25.5">
      <c r="B24" s="56"/>
      <c r="C24" s="59"/>
      <c r="D24" s="59" t="s">
        <v>2</v>
      </c>
      <c r="E24" s="59" t="s">
        <v>3</v>
      </c>
      <c r="F24" s="59" t="s">
        <v>4</v>
      </c>
      <c r="G24" s="53"/>
      <c r="H24" s="42"/>
    </row>
    <row r="25" spans="1:8">
      <c r="B25" s="56"/>
      <c r="C25" s="60" t="s">
        <v>5</v>
      </c>
      <c r="D25" s="61"/>
      <c r="E25" s="61"/>
      <c r="F25" s="61"/>
      <c r="G25" s="53"/>
      <c r="H25" s="42"/>
    </row>
    <row r="26" spans="1:8">
      <c r="B26" s="56"/>
      <c r="C26" s="60" t="s">
        <v>6</v>
      </c>
      <c r="D26" s="61"/>
      <c r="E26" s="61"/>
      <c r="F26" s="61"/>
      <c r="G26" s="53"/>
      <c r="H26" s="42"/>
    </row>
    <row r="27" spans="1:8">
      <c r="B27" s="56"/>
      <c r="C27" s="60" t="s">
        <v>7</v>
      </c>
      <c r="D27" s="62"/>
      <c r="E27" s="62"/>
      <c r="F27" s="62"/>
      <c r="G27" s="53"/>
      <c r="H27" s="42"/>
    </row>
    <row r="28" spans="1:8" ht="21" customHeight="1">
      <c r="B28" s="56"/>
      <c r="C28" s="60" t="s">
        <v>8</v>
      </c>
      <c r="D28" s="63"/>
      <c r="E28" s="63"/>
      <c r="F28" s="63"/>
      <c r="G28" s="53"/>
      <c r="H28" s="42"/>
    </row>
    <row r="29" spans="1:8" s="41" customFormat="1">
      <c r="A29" s="64"/>
      <c r="B29" s="56"/>
      <c r="C29" s="65"/>
      <c r="D29" s="42"/>
      <c r="E29" s="42"/>
      <c r="F29" s="64"/>
      <c r="G29" s="66"/>
    </row>
    <row r="30" spans="1:8" s="41" customFormat="1">
      <c r="A30" s="64"/>
      <c r="B30" s="67"/>
      <c r="C30" s="68"/>
      <c r="D30" s="42"/>
      <c r="E30" s="42"/>
      <c r="F30" s="64"/>
      <c r="G30" s="66"/>
    </row>
    <row r="31" spans="1:8">
      <c r="B31" s="56"/>
      <c r="C31" s="69"/>
      <c r="D31" s="70"/>
      <c r="E31" s="70"/>
      <c r="F31" s="70"/>
      <c r="G31" s="71"/>
    </row>
    <row r="32" spans="1:8">
      <c r="B32" s="72"/>
      <c r="C32" s="73"/>
      <c r="E32" s="74"/>
      <c r="F32" s="75"/>
      <c r="G32" s="76"/>
    </row>
    <row r="33" spans="2:4" ht="12.75" customHeight="1">
      <c r="D33" s="79"/>
    </row>
    <row r="34" spans="2:4">
      <c r="B34" s="77"/>
      <c r="C34" s="78"/>
    </row>
    <row r="35" spans="2:4">
      <c r="B35" s="80"/>
    </row>
  </sheetData>
  <sheetProtection selectLockedCells="1"/>
  <mergeCells count="6">
    <mergeCell ref="B10:G10"/>
    <mergeCell ref="B11:G11"/>
    <mergeCell ref="B12:G12"/>
    <mergeCell ref="B20:G20"/>
    <mergeCell ref="B6:G7"/>
    <mergeCell ref="B8:G9"/>
  </mergeCells>
  <pageMargins left="0.75" right="0.75" top="1" bottom="1" header="0.5" footer="0.5"/>
  <pageSetup scale="94" orientation="portrait"/>
  <headerFooter alignWithMargins="0">
    <oddFooter>&amp;RPage &amp;P of &amp;N</oddFooter>
  </headerFooter>
  <drawing r:id="rId1"/>
</worksheet>
</file>

<file path=xl/worksheets/sheet2.xml><?xml version="1.0" encoding="utf-8"?>
<worksheet xmlns="http://schemas.openxmlformats.org/spreadsheetml/2006/main" xmlns:r="http://schemas.openxmlformats.org/officeDocument/2006/relationships">
  <dimension ref="A1:O43"/>
  <sheetViews>
    <sheetView workbookViewId="0">
      <selection activeCell="C6" sqref="C6:D6"/>
    </sheetView>
  </sheetViews>
  <sheetFormatPr defaultColWidth="9.85546875" defaultRowHeight="12.75"/>
  <cols>
    <col min="1" max="1" width="15.7109375" style="27" customWidth="1"/>
    <col min="2" max="2" width="7.85546875" style="28" customWidth="1"/>
    <col min="3" max="3" width="41.42578125" style="28" customWidth="1"/>
    <col min="4" max="4" width="86.5703125" style="28" customWidth="1"/>
    <col min="5" max="5" width="15.85546875" style="28" customWidth="1"/>
    <col min="6" max="6" width="22.7109375" style="29" customWidth="1"/>
    <col min="7" max="16384" width="9.85546875" style="28"/>
  </cols>
  <sheetData>
    <row r="1" spans="2:15" s="26" customFormat="1" ht="57" customHeight="1">
      <c r="B1" s="96" t="s">
        <v>170</v>
      </c>
      <c r="C1" s="97"/>
      <c r="D1" s="97"/>
      <c r="E1" s="97"/>
      <c r="F1" s="97"/>
      <c r="G1" s="97"/>
      <c r="H1" s="97"/>
      <c r="N1" s="40"/>
      <c r="O1" s="40"/>
    </row>
    <row r="3" spans="2:15" ht="3" customHeight="1"/>
    <row r="4" spans="2:15" ht="29.1" customHeight="1">
      <c r="C4" s="98" t="s">
        <v>9</v>
      </c>
      <c r="D4" s="99"/>
    </row>
    <row r="5" spans="2:15">
      <c r="C5" s="30" t="s">
        <v>10</v>
      </c>
      <c r="D5" s="30"/>
    </row>
    <row r="6" spans="2:15" ht="93.75" customHeight="1">
      <c r="C6" s="100" t="s">
        <v>11</v>
      </c>
      <c r="D6" s="101"/>
    </row>
    <row r="7" spans="2:15" ht="25.5">
      <c r="C7" s="32" t="s">
        <v>12</v>
      </c>
      <c r="D7" s="33" t="s">
        <v>13</v>
      </c>
    </row>
    <row r="8" spans="2:15" ht="51">
      <c r="C8" s="32" t="s">
        <v>14</v>
      </c>
      <c r="D8" s="33" t="s">
        <v>15</v>
      </c>
    </row>
    <row r="9" spans="2:15" ht="76.5">
      <c r="C9" s="32" t="s">
        <v>16</v>
      </c>
      <c r="D9" s="33" t="s">
        <v>17</v>
      </c>
    </row>
    <row r="10" spans="2:15" ht="38.25">
      <c r="C10" s="32" t="s">
        <v>18</v>
      </c>
      <c r="D10" s="33" t="s">
        <v>19</v>
      </c>
    </row>
    <row r="11" spans="2:15" ht="76.5">
      <c r="C11" s="32" t="s">
        <v>20</v>
      </c>
      <c r="D11" s="33" t="s">
        <v>21</v>
      </c>
    </row>
    <row r="12" spans="2:15" ht="38.25">
      <c r="C12" s="32" t="s">
        <v>22</v>
      </c>
      <c r="D12" s="34" t="s">
        <v>23</v>
      </c>
    </row>
    <row r="13" spans="2:15" ht="51">
      <c r="C13" s="32" t="s">
        <v>24</v>
      </c>
      <c r="D13" s="34" t="s">
        <v>25</v>
      </c>
    </row>
    <row r="14" spans="2:15">
      <c r="C14" s="32" t="s">
        <v>26</v>
      </c>
      <c r="D14" s="31" t="s">
        <v>27</v>
      </c>
    </row>
    <row r="15" spans="2:15">
      <c r="C15" s="32" t="s">
        <v>28</v>
      </c>
      <c r="D15" s="31" t="s">
        <v>29</v>
      </c>
    </row>
    <row r="16" spans="2:15">
      <c r="C16" s="32" t="s">
        <v>30</v>
      </c>
      <c r="D16" s="31" t="s">
        <v>31</v>
      </c>
    </row>
    <row r="17" spans="1:4" ht="25.5">
      <c r="C17" s="32" t="s">
        <v>32</v>
      </c>
      <c r="D17" s="35" t="s">
        <v>33</v>
      </c>
    </row>
    <row r="19" spans="1:4" ht="29.1" customHeight="1">
      <c r="C19" s="98" t="s">
        <v>34</v>
      </c>
      <c r="D19" s="99"/>
    </row>
    <row r="20" spans="1:4" ht="25.5">
      <c r="C20" s="36" t="s">
        <v>22</v>
      </c>
      <c r="D20" s="31" t="s">
        <v>35</v>
      </c>
    </row>
    <row r="21" spans="1:4" ht="39" customHeight="1">
      <c r="C21" s="37" t="s">
        <v>36</v>
      </c>
      <c r="D21" s="31" t="s">
        <v>37</v>
      </c>
    </row>
    <row r="22" spans="1:4" ht="46.5" customHeight="1">
      <c r="C22" s="36" t="s">
        <v>26</v>
      </c>
      <c r="D22" s="31" t="s">
        <v>38</v>
      </c>
    </row>
    <row r="23" spans="1:4" ht="38.25">
      <c r="C23" s="36" t="s">
        <v>39</v>
      </c>
      <c r="D23" s="31" t="s">
        <v>40</v>
      </c>
    </row>
    <row r="24" spans="1:4" ht="25.5">
      <c r="A24" s="38"/>
      <c r="B24" s="39"/>
      <c r="C24" s="36" t="s">
        <v>41</v>
      </c>
      <c r="D24" s="31" t="s">
        <v>42</v>
      </c>
    </row>
    <row r="25" spans="1:4" ht="127.5">
      <c r="C25" s="36" t="s">
        <v>43</v>
      </c>
      <c r="D25" s="31" t="s">
        <v>44</v>
      </c>
    </row>
    <row r="28" spans="1:4" ht="354.75" customHeight="1"/>
    <row r="32" spans="1:4" ht="360.75" customHeight="1"/>
    <row r="34" ht="153" customHeight="1"/>
    <row r="37" ht="33" customHeight="1"/>
    <row r="38" ht="33" customHeight="1"/>
    <row r="39" ht="25.5" customHeight="1"/>
    <row r="40" ht="25.5" customHeight="1"/>
    <row r="41" ht="18" customHeight="1"/>
    <row r="42" ht="25.5" customHeight="1"/>
    <row r="43" ht="25.5" customHeight="1"/>
  </sheetData>
  <sheetProtection selectLockedCells="1" selectUnlockedCells="1"/>
  <mergeCells count="4">
    <mergeCell ref="B1:H1"/>
    <mergeCell ref="C4:D4"/>
    <mergeCell ref="C6:D6"/>
    <mergeCell ref="C19:D19"/>
  </mergeCells>
  <dataValidations count="2">
    <dataValidation type="list" allowBlank="1" showInputMessage="1" showErrorMessage="1" sqref="D1:G1">
      <formula1>"Simple,Average,Complex"</formula1>
    </dataValidation>
    <dataValidation type="list" allowBlank="1" showInputMessage="1" showErrorMessage="1" sqref="H1">
      <formula1>"Functional, External Interface, User Interface,System Interface, Non functional"</formula1>
    </dataValidation>
  </dataValidations>
  <pageMargins left="0.75" right="0.75" top="1" bottom="1" header="0.5" footer="0.5"/>
  <pageSetup paperSize="9" orientation="portrait"/>
  <headerFooter alignWithMargins="0">
    <oddFooter>&amp;RPage &amp;P of &amp;N</oddFooter>
  </headerFooter>
</worksheet>
</file>

<file path=xl/worksheets/sheet3.xml><?xml version="1.0" encoding="utf-8"?>
<worksheet xmlns="http://schemas.openxmlformats.org/spreadsheetml/2006/main" xmlns:r="http://schemas.openxmlformats.org/officeDocument/2006/relationships">
  <dimension ref="A1:N29"/>
  <sheetViews>
    <sheetView tabSelected="1" zoomScale="87" zoomScaleNormal="87" workbookViewId="0">
      <pane ySplit="3" topLeftCell="A25" activePane="bottomLeft" state="frozen"/>
      <selection pane="bottomLeft" activeCell="B5" sqref="B5"/>
    </sheetView>
  </sheetViews>
  <sheetFormatPr defaultColWidth="8.85546875" defaultRowHeight="12"/>
  <cols>
    <col min="1" max="1" width="13.85546875" style="12" customWidth="1"/>
    <col min="2" max="3" width="17.42578125" style="12" customWidth="1"/>
    <col min="4" max="4" width="20" style="12" customWidth="1"/>
    <col min="5" max="5" width="40.42578125" style="12" customWidth="1"/>
    <col min="6" max="8" width="14.85546875" style="117" customWidth="1"/>
    <col min="9" max="9" width="8.85546875" style="12"/>
    <col min="10" max="10" width="8.28515625" style="13" customWidth="1"/>
    <col min="11" max="11" width="7.7109375" style="12" customWidth="1"/>
    <col min="12" max="16384" width="8.85546875" style="12"/>
  </cols>
  <sheetData>
    <row r="1" spans="1:14" s="9" customFormat="1" ht="57" customHeight="1">
      <c r="A1" s="102" t="s">
        <v>171</v>
      </c>
      <c r="B1" s="103"/>
      <c r="C1" s="103"/>
      <c r="D1" s="103"/>
      <c r="E1" s="103"/>
      <c r="F1" s="103"/>
      <c r="G1" s="14"/>
      <c r="H1" s="14"/>
      <c r="I1" s="23"/>
      <c r="J1" s="23"/>
      <c r="K1" s="23"/>
      <c r="L1" s="23"/>
      <c r="M1" s="24"/>
      <c r="N1" s="24"/>
    </row>
    <row r="2" spans="1:14" s="10" customFormat="1" ht="15.75" customHeight="1">
      <c r="A2" s="104"/>
      <c r="B2" s="104"/>
      <c r="C2" s="104"/>
      <c r="D2" s="104"/>
      <c r="E2" s="104"/>
      <c r="F2" s="104"/>
      <c r="G2" s="104"/>
      <c r="H2" s="105"/>
      <c r="I2" s="106" t="s">
        <v>26</v>
      </c>
      <c r="J2" s="106"/>
      <c r="K2" s="106"/>
      <c r="L2" s="106"/>
      <c r="M2" s="11"/>
    </row>
    <row r="3" spans="1:14" s="11" customFormat="1" ht="38.25">
      <c r="A3" s="15" t="s">
        <v>45</v>
      </c>
      <c r="B3" s="15" t="s">
        <v>14</v>
      </c>
      <c r="C3" s="15" t="s">
        <v>16</v>
      </c>
      <c r="D3" s="15" t="s">
        <v>18</v>
      </c>
      <c r="E3" s="15" t="s">
        <v>20</v>
      </c>
      <c r="F3" s="16" t="s">
        <v>46</v>
      </c>
      <c r="G3" s="16" t="s">
        <v>22</v>
      </c>
      <c r="H3" s="16" t="s">
        <v>47</v>
      </c>
      <c r="I3" s="25" t="s">
        <v>26</v>
      </c>
      <c r="J3" s="25" t="s">
        <v>28</v>
      </c>
      <c r="K3" s="25" t="s">
        <v>30</v>
      </c>
      <c r="L3" s="25" t="s">
        <v>32</v>
      </c>
    </row>
    <row r="4" spans="1:14" ht="60">
      <c r="A4" s="17" t="s">
        <v>48</v>
      </c>
      <c r="B4" s="17" t="s">
        <v>49</v>
      </c>
      <c r="C4" s="17" t="s">
        <v>50</v>
      </c>
      <c r="D4" s="17" t="s">
        <v>51</v>
      </c>
      <c r="E4" s="17" t="s">
        <v>52</v>
      </c>
      <c r="F4" s="115" t="s">
        <v>53</v>
      </c>
      <c r="G4" s="118" t="s">
        <v>54</v>
      </c>
      <c r="H4" s="115">
        <v>3</v>
      </c>
      <c r="I4" s="17" t="s">
        <v>55</v>
      </c>
      <c r="J4" s="17" t="s">
        <v>55</v>
      </c>
      <c r="K4" s="17" t="s">
        <v>56</v>
      </c>
      <c r="L4" s="17">
        <v>3</v>
      </c>
    </row>
    <row r="5" spans="1:14" ht="216">
      <c r="A5" s="17" t="s">
        <v>57</v>
      </c>
      <c r="B5" s="17" t="s">
        <v>58</v>
      </c>
      <c r="C5" s="17" t="s">
        <v>59</v>
      </c>
      <c r="D5" s="17" t="s">
        <v>60</v>
      </c>
      <c r="E5" s="17" t="s">
        <v>61</v>
      </c>
      <c r="F5" s="115" t="s">
        <v>53</v>
      </c>
      <c r="G5" s="118" t="s">
        <v>54</v>
      </c>
      <c r="H5" s="115">
        <v>13</v>
      </c>
      <c r="I5" s="17" t="s">
        <v>55</v>
      </c>
      <c r="J5" s="17" t="s">
        <v>55</v>
      </c>
      <c r="K5" s="17" t="s">
        <v>56</v>
      </c>
      <c r="L5" s="17">
        <v>13</v>
      </c>
    </row>
    <row r="6" spans="1:14" ht="108">
      <c r="A6" s="17" t="s">
        <v>62</v>
      </c>
      <c r="B6" s="17" t="s">
        <v>63</v>
      </c>
      <c r="C6" s="17" t="s">
        <v>59</v>
      </c>
      <c r="D6" s="17" t="s">
        <v>64</v>
      </c>
      <c r="E6" s="17" t="s">
        <v>65</v>
      </c>
      <c r="F6" s="115" t="s">
        <v>53</v>
      </c>
      <c r="G6" s="118" t="s">
        <v>54</v>
      </c>
      <c r="H6" s="115">
        <v>8</v>
      </c>
      <c r="I6" s="17" t="s">
        <v>55</v>
      </c>
      <c r="J6" s="17" t="s">
        <v>55</v>
      </c>
      <c r="K6" s="17" t="s">
        <v>56</v>
      </c>
      <c r="L6" s="17">
        <v>8</v>
      </c>
    </row>
    <row r="7" spans="1:14" ht="300">
      <c r="A7" s="17" t="s">
        <v>66</v>
      </c>
      <c r="B7" s="17" t="s">
        <v>58</v>
      </c>
      <c r="C7" s="17" t="s">
        <v>67</v>
      </c>
      <c r="D7" s="17" t="s">
        <v>68</v>
      </c>
      <c r="E7" s="17" t="s">
        <v>69</v>
      </c>
      <c r="F7" s="115" t="s">
        <v>53</v>
      </c>
      <c r="G7" s="118" t="s">
        <v>54</v>
      </c>
      <c r="H7" s="115">
        <v>8</v>
      </c>
      <c r="I7" s="17" t="s">
        <v>55</v>
      </c>
      <c r="J7" s="17" t="s">
        <v>55</v>
      </c>
      <c r="K7" s="17" t="s">
        <v>56</v>
      </c>
      <c r="L7" s="17">
        <v>8</v>
      </c>
    </row>
    <row r="8" spans="1:14" ht="132">
      <c r="A8" s="17" t="s">
        <v>70</v>
      </c>
      <c r="B8" s="17" t="s">
        <v>63</v>
      </c>
      <c r="C8" s="17" t="s">
        <v>67</v>
      </c>
      <c r="D8" s="17" t="s">
        <v>71</v>
      </c>
      <c r="E8" s="17" t="s">
        <v>72</v>
      </c>
      <c r="F8" s="115" t="s">
        <v>53</v>
      </c>
      <c r="G8" s="118" t="s">
        <v>54</v>
      </c>
      <c r="H8" s="115">
        <v>8</v>
      </c>
      <c r="I8" s="17" t="s">
        <v>55</v>
      </c>
      <c r="J8" s="17" t="s">
        <v>55</v>
      </c>
      <c r="K8" s="17" t="s">
        <v>56</v>
      </c>
      <c r="L8" s="17"/>
    </row>
    <row r="9" spans="1:14" ht="228">
      <c r="A9" s="18" t="s">
        <v>73</v>
      </c>
      <c r="B9" s="18" t="s">
        <v>74</v>
      </c>
      <c r="C9" s="18" t="s">
        <v>75</v>
      </c>
      <c r="D9" s="18" t="s">
        <v>76</v>
      </c>
      <c r="E9" s="18" t="s">
        <v>77</v>
      </c>
      <c r="F9" s="116" t="s">
        <v>53</v>
      </c>
      <c r="G9" s="118" t="s">
        <v>54</v>
      </c>
      <c r="H9" s="116">
        <v>13</v>
      </c>
      <c r="I9" s="18" t="s">
        <v>55</v>
      </c>
      <c r="J9" s="17" t="s">
        <v>55</v>
      </c>
      <c r="K9" s="18" t="s">
        <v>56</v>
      </c>
      <c r="L9" s="18">
        <v>13</v>
      </c>
    </row>
    <row r="10" spans="1:14" ht="96">
      <c r="A10" s="18" t="s">
        <v>78</v>
      </c>
      <c r="B10" s="18" t="s">
        <v>79</v>
      </c>
      <c r="C10" s="18" t="s">
        <v>59</v>
      </c>
      <c r="D10" s="18" t="s">
        <v>80</v>
      </c>
      <c r="E10" s="18" t="s">
        <v>81</v>
      </c>
      <c r="F10" s="116" t="s">
        <v>53</v>
      </c>
      <c r="G10" s="118" t="s">
        <v>54</v>
      </c>
      <c r="H10" s="116">
        <v>8</v>
      </c>
      <c r="I10" s="18" t="s">
        <v>55</v>
      </c>
      <c r="J10" s="17" t="s">
        <v>55</v>
      </c>
      <c r="K10" s="18" t="s">
        <v>56</v>
      </c>
      <c r="L10" s="18">
        <v>8</v>
      </c>
    </row>
    <row r="11" spans="1:14" ht="84">
      <c r="A11" s="19" t="s">
        <v>82</v>
      </c>
      <c r="B11" s="18" t="s">
        <v>83</v>
      </c>
      <c r="C11" s="18" t="s">
        <v>59</v>
      </c>
      <c r="D11" s="18" t="s">
        <v>84</v>
      </c>
      <c r="E11" s="18" t="s">
        <v>85</v>
      </c>
      <c r="F11" s="116" t="s">
        <v>53</v>
      </c>
      <c r="G11" s="118" t="s">
        <v>54</v>
      </c>
      <c r="H11" s="116">
        <v>13</v>
      </c>
      <c r="I11" s="18" t="s">
        <v>55</v>
      </c>
      <c r="J11" s="17" t="s">
        <v>55</v>
      </c>
      <c r="K11" s="18" t="s">
        <v>56</v>
      </c>
      <c r="L11" s="18">
        <v>13</v>
      </c>
    </row>
    <row r="12" spans="1:14" ht="60">
      <c r="A12" s="19" t="s">
        <v>86</v>
      </c>
      <c r="B12" s="18" t="s">
        <v>87</v>
      </c>
      <c r="C12" s="18" t="s">
        <v>75</v>
      </c>
      <c r="D12" s="18" t="s">
        <v>88</v>
      </c>
      <c r="E12" s="18" t="s">
        <v>89</v>
      </c>
      <c r="F12" s="116" t="s">
        <v>53</v>
      </c>
      <c r="G12" s="118" t="s">
        <v>54</v>
      </c>
      <c r="H12" s="116">
        <v>8</v>
      </c>
      <c r="I12" s="18" t="s">
        <v>55</v>
      </c>
      <c r="J12" s="17" t="s">
        <v>55</v>
      </c>
      <c r="K12" s="18" t="s">
        <v>56</v>
      </c>
      <c r="L12" s="18">
        <v>8</v>
      </c>
    </row>
    <row r="13" spans="1:14" ht="72">
      <c r="A13" s="19" t="s">
        <v>90</v>
      </c>
      <c r="B13" s="18" t="s">
        <v>91</v>
      </c>
      <c r="C13" s="18" t="s">
        <v>75</v>
      </c>
      <c r="D13" s="18" t="s">
        <v>92</v>
      </c>
      <c r="E13" s="18" t="s">
        <v>93</v>
      </c>
      <c r="F13" s="116" t="s">
        <v>94</v>
      </c>
      <c r="G13" s="119" t="s">
        <v>95</v>
      </c>
      <c r="H13" s="116">
        <v>8</v>
      </c>
      <c r="I13" s="18" t="s">
        <v>55</v>
      </c>
      <c r="J13" s="17" t="s">
        <v>55</v>
      </c>
      <c r="K13" s="18" t="s">
        <v>56</v>
      </c>
      <c r="L13" s="18">
        <v>8</v>
      </c>
    </row>
    <row r="14" spans="1:14" ht="96">
      <c r="A14" s="19" t="s">
        <v>96</v>
      </c>
      <c r="B14" s="18" t="s">
        <v>97</v>
      </c>
      <c r="C14" s="18" t="s">
        <v>59</v>
      </c>
      <c r="D14" s="18" t="s">
        <v>98</v>
      </c>
      <c r="E14" s="18" t="s">
        <v>99</v>
      </c>
      <c r="F14" s="116" t="s">
        <v>94</v>
      </c>
      <c r="G14" s="119" t="s">
        <v>95</v>
      </c>
      <c r="H14" s="116">
        <v>5</v>
      </c>
      <c r="I14" s="18" t="s">
        <v>55</v>
      </c>
      <c r="J14" s="17" t="s">
        <v>55</v>
      </c>
      <c r="K14" s="18" t="s">
        <v>56</v>
      </c>
      <c r="L14" s="18">
        <v>5</v>
      </c>
    </row>
    <row r="15" spans="1:14" ht="60">
      <c r="A15" s="18" t="s">
        <v>100</v>
      </c>
      <c r="B15" s="18" t="s">
        <v>101</v>
      </c>
      <c r="C15" s="18" t="s">
        <v>67</v>
      </c>
      <c r="D15" s="18" t="s">
        <v>102</v>
      </c>
      <c r="E15" s="18" t="s">
        <v>103</v>
      </c>
      <c r="F15" s="116" t="s">
        <v>94</v>
      </c>
      <c r="G15" s="119" t="s">
        <v>95</v>
      </c>
      <c r="H15" s="116">
        <v>8</v>
      </c>
      <c r="I15" s="18" t="s">
        <v>55</v>
      </c>
      <c r="J15" s="17" t="s">
        <v>55</v>
      </c>
      <c r="K15" s="18" t="s">
        <v>56</v>
      </c>
      <c r="L15" s="18">
        <v>8</v>
      </c>
    </row>
    <row r="16" spans="1:14" ht="216">
      <c r="A16" s="18" t="s">
        <v>104</v>
      </c>
      <c r="B16" s="18" t="s">
        <v>105</v>
      </c>
      <c r="C16" s="18" t="s">
        <v>59</v>
      </c>
      <c r="D16" s="18" t="s">
        <v>106</v>
      </c>
      <c r="E16" s="18" t="s">
        <v>107</v>
      </c>
      <c r="F16" s="116" t="s">
        <v>53</v>
      </c>
      <c r="G16" s="119" t="s">
        <v>95</v>
      </c>
      <c r="H16" s="116">
        <v>13</v>
      </c>
      <c r="I16" s="18" t="s">
        <v>55</v>
      </c>
      <c r="J16" s="17" t="s">
        <v>55</v>
      </c>
      <c r="K16" s="18" t="s">
        <v>56</v>
      </c>
      <c r="L16" s="18">
        <v>13</v>
      </c>
    </row>
    <row r="17" spans="1:12" ht="252">
      <c r="A17" s="18" t="s">
        <v>108</v>
      </c>
      <c r="B17" s="18" t="s">
        <v>109</v>
      </c>
      <c r="C17" s="18" t="s">
        <v>59</v>
      </c>
      <c r="D17" s="18" t="s">
        <v>110</v>
      </c>
      <c r="E17" s="18" t="s">
        <v>111</v>
      </c>
      <c r="F17" s="116" t="s">
        <v>53</v>
      </c>
      <c r="G17" s="119" t="s">
        <v>95</v>
      </c>
      <c r="H17" s="116">
        <v>13</v>
      </c>
      <c r="I17" s="18" t="s">
        <v>55</v>
      </c>
      <c r="J17" s="17" t="s">
        <v>55</v>
      </c>
      <c r="K17" s="18" t="s">
        <v>56</v>
      </c>
      <c r="L17" s="18">
        <v>13</v>
      </c>
    </row>
    <row r="18" spans="1:12" ht="48">
      <c r="A18" s="18" t="s">
        <v>112</v>
      </c>
      <c r="B18" s="18" t="s">
        <v>113</v>
      </c>
      <c r="C18" s="18" t="s">
        <v>59</v>
      </c>
      <c r="D18" s="18" t="s">
        <v>114</v>
      </c>
      <c r="E18" s="18" t="s">
        <v>115</v>
      </c>
      <c r="F18" s="116" t="s">
        <v>53</v>
      </c>
      <c r="G18" s="119" t="s">
        <v>95</v>
      </c>
      <c r="H18" s="116">
        <v>5</v>
      </c>
      <c r="I18" s="18" t="s">
        <v>55</v>
      </c>
      <c r="J18" s="17" t="s">
        <v>55</v>
      </c>
      <c r="K18" s="18" t="s">
        <v>56</v>
      </c>
      <c r="L18" s="18">
        <v>5</v>
      </c>
    </row>
    <row r="19" spans="1:12" ht="48">
      <c r="A19" s="18" t="s">
        <v>116</v>
      </c>
      <c r="B19" s="18" t="s">
        <v>117</v>
      </c>
      <c r="C19" s="18" t="s">
        <v>59</v>
      </c>
      <c r="D19" s="18" t="s">
        <v>118</v>
      </c>
      <c r="E19" s="18" t="s">
        <v>119</v>
      </c>
      <c r="F19" s="116" t="s">
        <v>53</v>
      </c>
      <c r="G19" s="119" t="s">
        <v>95</v>
      </c>
      <c r="H19" s="116">
        <v>13</v>
      </c>
      <c r="I19" s="18" t="s">
        <v>55</v>
      </c>
      <c r="J19" s="17" t="s">
        <v>55</v>
      </c>
      <c r="K19" s="18" t="s">
        <v>56</v>
      </c>
      <c r="L19" s="18">
        <v>13</v>
      </c>
    </row>
    <row r="20" spans="1:12" ht="72">
      <c r="A20" s="18" t="s">
        <v>120</v>
      </c>
      <c r="B20" s="20" t="s">
        <v>121</v>
      </c>
      <c r="C20" s="18" t="s">
        <v>59</v>
      </c>
      <c r="D20" s="21" t="s">
        <v>122</v>
      </c>
      <c r="E20" s="18" t="s">
        <v>123</v>
      </c>
      <c r="F20" s="116" t="s">
        <v>53</v>
      </c>
      <c r="G20" s="119" t="s">
        <v>95</v>
      </c>
      <c r="H20" s="116">
        <v>13</v>
      </c>
      <c r="I20" s="18" t="s">
        <v>55</v>
      </c>
      <c r="J20" s="17" t="s">
        <v>55</v>
      </c>
      <c r="K20" s="18" t="s">
        <v>56</v>
      </c>
      <c r="L20" s="18">
        <v>13</v>
      </c>
    </row>
    <row r="21" spans="1:12" ht="51">
      <c r="A21" s="18" t="s">
        <v>124</v>
      </c>
      <c r="B21" s="21" t="s">
        <v>125</v>
      </c>
      <c r="C21" s="18" t="s">
        <v>59</v>
      </c>
      <c r="D21" s="21" t="s">
        <v>126</v>
      </c>
      <c r="E21" s="22" t="s">
        <v>127</v>
      </c>
      <c r="F21" s="116" t="s">
        <v>94</v>
      </c>
      <c r="G21" s="119" t="s">
        <v>95</v>
      </c>
      <c r="H21" s="116">
        <v>8</v>
      </c>
      <c r="I21" s="18" t="s">
        <v>55</v>
      </c>
      <c r="J21" s="17" t="s">
        <v>55</v>
      </c>
      <c r="K21" s="18" t="s">
        <v>56</v>
      </c>
      <c r="L21" s="18">
        <v>8</v>
      </c>
    </row>
    <row r="22" spans="1:12" ht="48">
      <c r="A22" s="18" t="s">
        <v>128</v>
      </c>
      <c r="B22" s="21" t="s">
        <v>129</v>
      </c>
      <c r="C22" s="18" t="s">
        <v>75</v>
      </c>
      <c r="D22" s="18" t="s">
        <v>130</v>
      </c>
      <c r="E22" s="18" t="s">
        <v>131</v>
      </c>
      <c r="F22" s="116" t="s">
        <v>94</v>
      </c>
      <c r="G22" s="119" t="s">
        <v>95</v>
      </c>
      <c r="H22" s="116">
        <v>5</v>
      </c>
      <c r="I22" s="18" t="s">
        <v>55</v>
      </c>
      <c r="J22" s="17" t="s">
        <v>55</v>
      </c>
      <c r="K22" s="18" t="s">
        <v>56</v>
      </c>
      <c r="L22" s="18">
        <v>5</v>
      </c>
    </row>
    <row r="23" spans="1:12" ht="63.75">
      <c r="A23" s="18" t="s">
        <v>132</v>
      </c>
      <c r="B23" s="21" t="s">
        <v>133</v>
      </c>
      <c r="C23" s="18" t="s">
        <v>67</v>
      </c>
      <c r="D23" s="21" t="s">
        <v>134</v>
      </c>
      <c r="E23" s="18" t="s">
        <v>135</v>
      </c>
      <c r="F23" s="116" t="s">
        <v>53</v>
      </c>
      <c r="G23" s="119" t="s">
        <v>95</v>
      </c>
      <c r="H23" s="116">
        <v>13</v>
      </c>
      <c r="I23" s="18" t="s">
        <v>55</v>
      </c>
      <c r="J23" s="17" t="s">
        <v>55</v>
      </c>
      <c r="K23" s="18" t="s">
        <v>56</v>
      </c>
      <c r="L23" s="18">
        <v>13</v>
      </c>
    </row>
    <row r="24" spans="1:12" ht="84">
      <c r="A24" s="18" t="s">
        <v>136</v>
      </c>
      <c r="B24" s="21" t="s">
        <v>137</v>
      </c>
      <c r="C24" s="18" t="s">
        <v>67</v>
      </c>
      <c r="D24" s="21" t="s">
        <v>138</v>
      </c>
      <c r="E24" s="18" t="s">
        <v>139</v>
      </c>
      <c r="F24" s="116" t="s">
        <v>94</v>
      </c>
      <c r="G24" s="119" t="s">
        <v>95</v>
      </c>
      <c r="H24" s="116">
        <v>8</v>
      </c>
      <c r="I24" s="18" t="s">
        <v>55</v>
      </c>
      <c r="J24" s="17" t="s">
        <v>55</v>
      </c>
      <c r="K24" s="18" t="s">
        <v>56</v>
      </c>
      <c r="L24" s="18">
        <v>8</v>
      </c>
    </row>
    <row r="25" spans="1:12" ht="72">
      <c r="A25" s="18" t="s">
        <v>140</v>
      </c>
      <c r="B25" s="21" t="s">
        <v>141</v>
      </c>
      <c r="C25" s="18" t="s">
        <v>142</v>
      </c>
      <c r="D25" s="21" t="s">
        <v>143</v>
      </c>
      <c r="E25" s="18" t="s">
        <v>144</v>
      </c>
      <c r="F25" s="116" t="s">
        <v>94</v>
      </c>
      <c r="G25" s="118" t="s">
        <v>54</v>
      </c>
      <c r="H25" s="116">
        <v>8</v>
      </c>
      <c r="I25" s="18" t="s">
        <v>55</v>
      </c>
      <c r="J25" s="17" t="s">
        <v>55</v>
      </c>
      <c r="K25" s="18" t="s">
        <v>56</v>
      </c>
      <c r="L25" s="18">
        <v>8</v>
      </c>
    </row>
    <row r="26" spans="1:12" ht="72">
      <c r="A26" s="18" t="s">
        <v>145</v>
      </c>
      <c r="B26" s="21" t="s">
        <v>146</v>
      </c>
      <c r="C26" s="18" t="s">
        <v>75</v>
      </c>
      <c r="D26" s="21" t="s">
        <v>147</v>
      </c>
      <c r="E26" s="18" t="s">
        <v>148</v>
      </c>
      <c r="F26" s="116" t="s">
        <v>149</v>
      </c>
      <c r="G26" s="118" t="s">
        <v>54</v>
      </c>
      <c r="H26" s="116">
        <v>8</v>
      </c>
      <c r="I26" s="18" t="s">
        <v>55</v>
      </c>
      <c r="J26" s="17" t="s">
        <v>55</v>
      </c>
      <c r="K26" s="18" t="s">
        <v>56</v>
      </c>
      <c r="L26" s="18">
        <v>8</v>
      </c>
    </row>
    <row r="27" spans="1:12" ht="60">
      <c r="A27" s="18" t="s">
        <v>150</v>
      </c>
      <c r="B27" s="21" t="s">
        <v>151</v>
      </c>
      <c r="C27" s="18" t="s">
        <v>59</v>
      </c>
      <c r="D27" s="21" t="s">
        <v>152</v>
      </c>
      <c r="E27" s="18" t="s">
        <v>153</v>
      </c>
      <c r="F27" s="116" t="s">
        <v>149</v>
      </c>
      <c r="G27" s="118" t="s">
        <v>54</v>
      </c>
      <c r="H27" s="116">
        <v>5</v>
      </c>
      <c r="I27" s="18" t="s">
        <v>55</v>
      </c>
      <c r="J27" s="17" t="s">
        <v>55</v>
      </c>
      <c r="K27" s="18" t="s">
        <v>56</v>
      </c>
      <c r="L27" s="18">
        <v>5</v>
      </c>
    </row>
    <row r="28" spans="1:12" ht="168">
      <c r="A28" s="18" t="s">
        <v>154</v>
      </c>
      <c r="B28" s="21" t="s">
        <v>155</v>
      </c>
      <c r="C28" s="18" t="s">
        <v>156</v>
      </c>
      <c r="D28" s="21" t="s">
        <v>157</v>
      </c>
      <c r="E28" s="18" t="s">
        <v>158</v>
      </c>
      <c r="F28" s="116" t="s">
        <v>149</v>
      </c>
      <c r="G28" s="118" t="s">
        <v>54</v>
      </c>
      <c r="H28" s="116">
        <v>13</v>
      </c>
      <c r="I28" s="18" t="s">
        <v>55</v>
      </c>
      <c r="J28" s="17" t="s">
        <v>55</v>
      </c>
      <c r="K28" s="18" t="s">
        <v>56</v>
      </c>
      <c r="L28" s="18">
        <v>13</v>
      </c>
    </row>
    <row r="29" spans="1:12" ht="38.25">
      <c r="A29" s="18" t="s">
        <v>159</v>
      </c>
      <c r="B29" s="21" t="s">
        <v>160</v>
      </c>
      <c r="C29" s="18" t="s">
        <v>59</v>
      </c>
      <c r="D29" s="21" t="s">
        <v>161</v>
      </c>
      <c r="E29" s="18" t="s">
        <v>162</v>
      </c>
      <c r="F29" s="116" t="s">
        <v>53</v>
      </c>
      <c r="G29" s="118" t="s">
        <v>54</v>
      </c>
      <c r="H29" s="116">
        <v>5</v>
      </c>
      <c r="I29" s="18" t="s">
        <v>55</v>
      </c>
      <c r="J29" s="17" t="s">
        <v>55</v>
      </c>
      <c r="K29" s="18" t="s">
        <v>56</v>
      </c>
      <c r="L29" s="18">
        <v>5</v>
      </c>
    </row>
  </sheetData>
  <sheetProtection selectLockedCells="1"/>
  <mergeCells count="3">
    <mergeCell ref="A1:F1"/>
    <mergeCell ref="A2:H2"/>
    <mergeCell ref="I2:L2"/>
  </mergeCells>
  <conditionalFormatting sqref="A82:H1048576 E20:F21 A30:G81 A5:B6 A7:A8 E9:E24 B9:B19 C19:D19 F19 C20:C21 C23:C29 A19:A29 D5:E6 A9:E15 C22:F22 E23:F29 A16:F18">
    <cfRule type="expression" dxfId="1" priority="4">
      <formula>#REF!="rejected"</formula>
    </cfRule>
  </conditionalFormatting>
  <conditionalFormatting sqref="B7:B8 D7:E8">
    <cfRule type="expression" dxfId="0" priority="1">
      <formula>#REF!="rejected"</formula>
    </cfRule>
  </conditionalFormatting>
  <dataValidations count="3">
    <dataValidation type="list" allowBlank="1" showInputMessage="1" showErrorMessage="1" sqref="H1">
      <formula1>"Functional, External Interface, User Interface,System Interface, Non functional"</formula1>
    </dataValidation>
    <dataValidation type="list" allowBlank="1" showInputMessage="1" showErrorMessage="1" sqref="H4:H81 L4:L80">
      <formula1>"1,2,3,5,8,13,21"</formula1>
    </dataValidation>
    <dataValidation type="list" allowBlank="1" showInputMessage="1" showErrorMessage="1" sqref="I4:I88 J4:J29">
      <formula1>"Yes,No"</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dimension ref="A1:G29"/>
  <sheetViews>
    <sheetView workbookViewId="0">
      <selection activeCell="E4" sqref="E4:E5"/>
    </sheetView>
  </sheetViews>
  <sheetFormatPr defaultColWidth="8.85546875" defaultRowHeight="12.75"/>
  <cols>
    <col min="1" max="1" width="8.85546875" style="1"/>
    <col min="2" max="2" width="10.85546875" style="1" customWidth="1"/>
    <col min="3" max="3" width="9.42578125" style="1" customWidth="1"/>
    <col min="4" max="4" width="12.42578125" style="1" customWidth="1"/>
    <col min="5" max="5" width="11.140625" style="1" customWidth="1"/>
    <col min="6" max="7" width="8.85546875" style="2"/>
    <col min="8" max="16384" width="8.85546875" style="1"/>
  </cols>
  <sheetData>
    <row r="1" spans="1:7" ht="25.5">
      <c r="A1" s="3" t="s">
        <v>163</v>
      </c>
    </row>
    <row r="2" spans="1:7">
      <c r="A2" s="107" t="s">
        <v>164</v>
      </c>
      <c r="B2" s="107"/>
      <c r="C2" s="107"/>
      <c r="D2" s="107"/>
    </row>
    <row r="4" spans="1:7" ht="15" customHeight="1">
      <c r="A4" s="109" t="s">
        <v>22</v>
      </c>
      <c r="B4" s="108" t="s">
        <v>165</v>
      </c>
      <c r="C4" s="108"/>
      <c r="D4" s="108"/>
      <c r="E4" s="111" t="s">
        <v>41</v>
      </c>
      <c r="F4" s="113" t="s">
        <v>166</v>
      </c>
      <c r="G4" s="113" t="s">
        <v>167</v>
      </c>
    </row>
    <row r="5" spans="1:7">
      <c r="A5" s="110"/>
      <c r="B5" s="4" t="s">
        <v>168</v>
      </c>
      <c r="C5" s="4" t="s">
        <v>26</v>
      </c>
      <c r="D5" s="4" t="s">
        <v>39</v>
      </c>
      <c r="E5" s="112"/>
      <c r="F5" s="114"/>
      <c r="G5" s="114"/>
    </row>
    <row r="6" spans="1:7">
      <c r="A6" s="5">
        <v>1</v>
      </c>
      <c r="B6" s="6">
        <v>100</v>
      </c>
      <c r="C6" s="7">
        <v>75</v>
      </c>
      <c r="D6" s="1">
        <v>0</v>
      </c>
      <c r="E6" s="8" t="str">
        <f t="shared" ref="E6:E7" si="0">ROUND((C6/(C6+B6))*100,0)&amp;"%"</f>
        <v>43%</v>
      </c>
      <c r="F6" s="2">
        <f>-D6</f>
        <v>0</v>
      </c>
      <c r="G6" s="2">
        <f>B6-D6</f>
        <v>100</v>
      </c>
    </row>
    <row r="7" spans="1:7">
      <c r="A7" s="5">
        <v>2</v>
      </c>
      <c r="B7" s="6">
        <v>170</v>
      </c>
      <c r="C7" s="6">
        <v>150</v>
      </c>
      <c r="D7" s="1">
        <f t="shared" ref="D7" si="1">((B7+C7)-(B6+C6)+D6)</f>
        <v>145</v>
      </c>
      <c r="E7" s="8" t="str">
        <f t="shared" si="0"/>
        <v>47%</v>
      </c>
      <c r="F7" s="2">
        <f>-D7</f>
        <v>-145</v>
      </c>
      <c r="G7" s="2">
        <f>B7-D7</f>
        <v>25</v>
      </c>
    </row>
    <row r="8" spans="1:7">
      <c r="A8" s="5">
        <v>3</v>
      </c>
      <c r="B8" s="6">
        <v>190</v>
      </c>
      <c r="C8" s="6">
        <v>120</v>
      </c>
      <c r="D8" s="1">
        <f t="shared" ref="D8" si="2">((B8+C8)-(B7+C7)+D7)</f>
        <v>135</v>
      </c>
      <c r="E8" s="8" t="str">
        <f t="shared" ref="E8" si="3">ROUND((C8/(C8+B8))*100,0)&amp;"%"</f>
        <v>39%</v>
      </c>
      <c r="F8" s="2">
        <f>-D8</f>
        <v>-135</v>
      </c>
      <c r="G8" s="2">
        <f>B8-D8</f>
        <v>55</v>
      </c>
    </row>
    <row r="28" spans="3:3">
      <c r="C28" s="1" t="s">
        <v>55</v>
      </c>
    </row>
    <row r="29" spans="3:3">
      <c r="C29" s="1" t="s">
        <v>169</v>
      </c>
    </row>
  </sheetData>
  <sheetProtection selectLockedCells="1"/>
  <mergeCells count="6">
    <mergeCell ref="G4:G5"/>
    <mergeCell ref="A2:D2"/>
    <mergeCell ref="B4:D4"/>
    <mergeCell ref="A4:A5"/>
    <mergeCell ref="E4:E5"/>
    <mergeCell ref="F4:F5"/>
  </mergeCells>
  <dataValidations count="1">
    <dataValidation type="list" allowBlank="1" showInputMessage="1" showErrorMessage="1" sqref="E28">
      <formula1>$C$28:$C$30</formula1>
    </dataValidation>
  </dataValidation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dimension ref="A1:A11"/>
  <sheetViews>
    <sheetView workbookViewId="0">
      <selection activeCell="E4" sqref="E4"/>
    </sheetView>
  </sheetViews>
  <sheetFormatPr defaultColWidth="11.42578125" defaultRowHeight="15"/>
  <sheetData>
    <row r="1" spans="1:1">
      <c r="A1">
        <v>0</v>
      </c>
    </row>
    <row r="2" spans="1:1">
      <c r="A2">
        <v>5</v>
      </c>
    </row>
    <row r="3" spans="1:1">
      <c r="A3">
        <v>10</v>
      </c>
    </row>
    <row r="4" spans="1:1">
      <c r="A4">
        <v>20</v>
      </c>
    </row>
    <row r="5" spans="1:1">
      <c r="A5">
        <v>30</v>
      </c>
    </row>
    <row r="6" spans="1:1">
      <c r="A6">
        <v>50</v>
      </c>
    </row>
    <row r="7" spans="1:1">
      <c r="A7">
        <v>80</v>
      </c>
    </row>
    <row r="8" spans="1:1">
      <c r="A8">
        <v>130</v>
      </c>
    </row>
    <row r="9" spans="1:1">
      <c r="A9">
        <v>200</v>
      </c>
    </row>
    <row r="10" spans="1:1">
      <c r="A10">
        <v>400</v>
      </c>
    </row>
    <row r="11" spans="1:1">
      <c r="A11">
        <v>1000</v>
      </c>
    </row>
  </sheetData>
  <pageMargins left="0.75" right="0.75" top="1" bottom="1" header="0.5" footer="0.5"/>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A9C735C9F3CD54A948D0AD38DF112BF" ma:contentTypeVersion="11" ma:contentTypeDescription="Create a new document." ma:contentTypeScope="" ma:versionID="21d22ff45c5bcee3e13d2da0d2eaf86f">
  <xsd:schema xmlns:xsd="http://www.w3.org/2001/XMLSchema" xmlns:xs="http://www.w3.org/2001/XMLSchema" xmlns:p="http://schemas.microsoft.com/office/2006/metadata/properties" xmlns:ns2="eac52b12-2228-488c-9d59-8a93d308b64e" xmlns:ns3="951c5514-b77c-4532-82d5-a05f2f7d58e2" targetNamespace="http://schemas.microsoft.com/office/2006/metadata/properties" ma:root="true" ma:fieldsID="8b7f95d062efb1de1c26afcaa392f390" ns2:_="" ns3:_="">
    <xsd:import namespace="eac52b12-2228-488c-9d59-8a93d308b64e"/>
    <xsd:import namespace="951c5514-b77c-4532-82d5-a05f2f7d58e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ac52b12-2228-488c-9d59-8a93d308b6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575168F-6331-41DA-B879-8152475B9854}">
  <ds:schemaRefs/>
</ds:datastoreItem>
</file>

<file path=customXml/itemProps2.xml><?xml version="1.0" encoding="utf-8"?>
<ds:datastoreItem xmlns:ds="http://schemas.openxmlformats.org/officeDocument/2006/customXml" ds:itemID="{03700393-48F7-455D-AD44-BC387F1A2A03}">
  <ds:schemaRefs/>
</ds:datastoreItem>
</file>

<file path=customXml/itemProps3.xml><?xml version="1.0" encoding="utf-8"?>
<ds:datastoreItem xmlns:ds="http://schemas.openxmlformats.org/officeDocument/2006/customXml" ds:itemID="{4C0C9F9C-98B5-480F-B2D6-CAE7CFAF01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Instructions</vt:lpstr>
      <vt:lpstr>Backlog</vt:lpstr>
      <vt:lpstr>Charts</vt:lpstr>
      <vt:lpstr>Sheet1</vt:lpstr>
    </vt:vector>
  </TitlesOfParts>
  <Company>NPS Limited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Heasley</dc:creator>
  <cp:lastModifiedBy>Windows User</cp:lastModifiedBy>
  <dcterms:created xsi:type="dcterms:W3CDTF">2014-04-10T04:38:00Z</dcterms:created>
  <dcterms:modified xsi:type="dcterms:W3CDTF">2022-07-13T11:07:08Z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864dfc2f-d4cc-47bc-ae68-d207564bbc62</vt:lpwstr>
  </property>
  <property fmtid="{D5CDD505-2E9C-101B-9397-08002B2CF9AE}" pid="3" name="ContentTypeId">
    <vt:lpwstr>0x0101007A9C735C9F3CD54A948D0AD38DF112BF</vt:lpwstr>
  </property>
  <property fmtid="{D5CDD505-2E9C-101B-9397-08002B2CF9AE}" pid="4" name="TaxKeyword">
    <vt:lpwstr/>
  </property>
  <property fmtid="{D5CDD505-2E9C-101B-9397-08002B2CF9AE}" pid="5" name="TaxCatchAll">
    <vt:lpwstr/>
  </property>
  <property fmtid="{D5CDD505-2E9C-101B-9397-08002B2CF9AE}" pid="6" name="TaxKeywordTaxHTField">
    <vt:lpwstr/>
  </property>
  <property fmtid="{D5CDD505-2E9C-101B-9397-08002B2CF9AE}" pid="7" name="ICV">
    <vt:lpwstr>016AF72581E2424B88D2925A54039E8D</vt:lpwstr>
  </property>
  <property fmtid="{D5CDD505-2E9C-101B-9397-08002B2CF9AE}" pid="8" name="KSOProductBuildVer">
    <vt:lpwstr>1033-11.2.0.11156</vt:lpwstr>
  </property>
</Properties>
</file>